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 CHACHO" sheetId="1" r:id="rId4"/>
    <sheet state="visible" name="PESAJES BALANCE " sheetId="2" r:id="rId5"/>
  </sheets>
  <definedNames/>
  <calcPr/>
  <extLst>
    <ext uri="GoogleSheetsCustomDataVersion2">
      <go:sheetsCustomData xmlns:go="http://customooxmlschemas.google.com/" r:id="rId6" roundtripDataChecksum="IhhNSHMl2PfWlgF3hWJuaFaxfDQuqzUdQhIrRhJ/ogA="/>
    </ext>
  </extLst>
</workbook>
</file>

<file path=xl/sharedStrings.xml><?xml version="1.0" encoding="utf-8"?>
<sst xmlns="http://schemas.openxmlformats.org/spreadsheetml/2006/main" count="446" uniqueCount="142">
  <si>
    <t>CARNE</t>
  </si>
  <si>
    <t>GRANJA DON CHACHO</t>
  </si>
  <si>
    <t>INCREMENTO</t>
  </si>
  <si>
    <t>RINDE CARNE GRANJA DON CHACHO</t>
  </si>
  <si>
    <t>CORTES:</t>
  </si>
  <si>
    <t>penultimo</t>
  </si>
  <si>
    <t>ultimo</t>
  </si>
  <si>
    <t>$ Actual</t>
  </si>
  <si>
    <t>Pegar $ Actual para calcular incremento</t>
  </si>
  <si>
    <t>Valor con calculo de incremento</t>
  </si>
  <si>
    <t>MEDIA FORRES</t>
  </si>
  <si>
    <t>KGR</t>
  </si>
  <si>
    <t>PRECIO</t>
  </si>
  <si>
    <t>TOTALES</t>
  </si>
  <si>
    <t>VACIO</t>
  </si>
  <si>
    <t>MEDIA RES 111</t>
  </si>
  <si>
    <t>QUEPERI</t>
  </si>
  <si>
    <t>SIN PELAR HUESO</t>
  </si>
  <si>
    <t>MATAMBRE</t>
  </si>
  <si>
    <t>Asado:</t>
  </si>
  <si>
    <t>VUELITO</t>
  </si>
  <si>
    <t>Vacio</t>
  </si>
  <si>
    <t>COSTILLA ESPECIAL</t>
  </si>
  <si>
    <t>Queperi</t>
  </si>
  <si>
    <t>TAPA DE NALGA</t>
  </si>
  <si>
    <t>Matambre</t>
  </si>
  <si>
    <t>TAPA DE ASADO</t>
  </si>
  <si>
    <t>Vuelito</t>
  </si>
  <si>
    <t>FALDA DE ESPALDA</t>
  </si>
  <si>
    <t>Costilla</t>
  </si>
  <si>
    <t>CORTE AMERICANO</t>
  </si>
  <si>
    <t>Tapa de Nalga</t>
  </si>
  <si>
    <t>COSTELETA</t>
  </si>
  <si>
    <t>Tapa de Asado</t>
  </si>
  <si>
    <t>FILET</t>
  </si>
  <si>
    <t>( oferta asado 4kg.)</t>
  </si>
  <si>
    <t>LOMO</t>
  </si>
  <si>
    <t>Blandos Especiales:</t>
  </si>
  <si>
    <t>PULPA</t>
  </si>
  <si>
    <t>Filet</t>
  </si>
  <si>
    <t>PICANA</t>
  </si>
  <si>
    <t>Lomo</t>
  </si>
  <si>
    <t>PECETO</t>
  </si>
  <si>
    <t>Pulpa</t>
  </si>
  <si>
    <t>BOLA DE LOMO</t>
  </si>
  <si>
    <t>Picana</t>
  </si>
  <si>
    <t>CUADRADA</t>
  </si>
  <si>
    <t>Peceto</t>
  </si>
  <si>
    <t>PALETA</t>
  </si>
  <si>
    <t xml:space="preserve">Bola de Lomo </t>
  </si>
  <si>
    <t>SOBACO</t>
  </si>
  <si>
    <t>Cuadrada</t>
  </si>
  <si>
    <t>TORTUGA</t>
  </si>
  <si>
    <t>Paleta</t>
  </si>
  <si>
    <t>MOLIDA COMUN</t>
  </si>
  <si>
    <t>Blandos Comunes:</t>
  </si>
  <si>
    <t>PUCHERO ESPECIAL</t>
  </si>
  <si>
    <t xml:space="preserve">Sobaco </t>
  </si>
  <si>
    <t>PUCHERO PALETA</t>
  </si>
  <si>
    <t>Tortuga</t>
  </si>
  <si>
    <t>PUCHERO COGOTE</t>
  </si>
  <si>
    <t>Blando Comun</t>
  </si>
  <si>
    <t>PUCHERO COMUN</t>
  </si>
  <si>
    <t>Pucheros Especiales:</t>
  </si>
  <si>
    <t>PUCHERO COMUN 3KG</t>
  </si>
  <si>
    <t>Osobuco</t>
  </si>
  <si>
    <t>BUTIFARRA</t>
  </si>
  <si>
    <t xml:space="preserve">Puchero Comun oferta </t>
  </si>
  <si>
    <t>CHORIZO CRIOLLO</t>
  </si>
  <si>
    <t>Grasa parque</t>
  </si>
  <si>
    <t>CHORIZO DE CERDO</t>
  </si>
  <si>
    <t>Huesos y Desperdicios</t>
  </si>
  <si>
    <t>HAMBURGUESA CARNE</t>
  </si>
  <si>
    <t>Para chori</t>
  </si>
  <si>
    <t>MILANESA CARNE</t>
  </si>
  <si>
    <t>MOLIDA ESPECIAL</t>
  </si>
  <si>
    <t>Kg Rinde</t>
  </si>
  <si>
    <t>GRASA</t>
  </si>
  <si>
    <t>OFERTAS DE ASADO</t>
  </si>
  <si>
    <t xml:space="preserve">ultimo </t>
  </si>
  <si>
    <t>OFERTA 4KG  2+1+1</t>
  </si>
  <si>
    <t>OFERTA ASADO 3KG(2+1)</t>
  </si>
  <si>
    <t>OFERTA 4KG  3+1</t>
  </si>
  <si>
    <t>OFERTA 4KG  2+2</t>
  </si>
  <si>
    <t>OF.5KG(3CARNE1CERDO1CHORI)</t>
  </si>
  <si>
    <t>S</t>
  </si>
  <si>
    <t>CERDOS</t>
  </si>
  <si>
    <t>RINDE CERDO GRANJA DON CHACHO</t>
  </si>
  <si>
    <t>CERDOS:</t>
  </si>
  <si>
    <t>PECHITO DE CERDO</t>
  </si>
  <si>
    <t>MEDIA CERDO 36 KG</t>
  </si>
  <si>
    <t>COSTILLA DE CERDO</t>
  </si>
  <si>
    <t>COSTILLA</t>
  </si>
  <si>
    <t>MATAMBRE DE CERDO</t>
  </si>
  <si>
    <t>BONDIOLA</t>
  </si>
  <si>
    <t>COSTELETA DE CERDO</t>
  </si>
  <si>
    <t>PERNIL</t>
  </si>
  <si>
    <t>PALETA DE CERDO</t>
  </si>
  <si>
    <t>MILANESA CERDO</t>
  </si>
  <si>
    <t>CUERO y CABEZA</t>
  </si>
  <si>
    <t>HAMBURGUESA DE CERDO</t>
  </si>
  <si>
    <t>MOLIDA DE CERDO</t>
  </si>
  <si>
    <t>PATITAS Y DESPERDICIO</t>
  </si>
  <si>
    <t>PARA CHORIZO</t>
  </si>
  <si>
    <t>POLLOS</t>
  </si>
  <si>
    <t>RINDE POLLO GRANJA DON CHACHO</t>
  </si>
  <si>
    <t>POLLOS:</t>
  </si>
  <si>
    <t>POLLO ENTERO</t>
  </si>
  <si>
    <t>CAJA POLLO CAL. 8</t>
  </si>
  <si>
    <t>TROZADO</t>
  </si>
  <si>
    <t>PECHUGAS</t>
  </si>
  <si>
    <t>SUPREMAS</t>
  </si>
  <si>
    <t>PATA MUSLO</t>
  </si>
  <si>
    <t>PECHUGA Y BIFE</t>
  </si>
  <si>
    <t>ALITAS</t>
  </si>
  <si>
    <t>BIFE DE PATA MUSLO</t>
  </si>
  <si>
    <t>MENUDO</t>
  </si>
  <si>
    <t>PATA MUSLO C/RABADILLA</t>
  </si>
  <si>
    <t>PUCHERO</t>
  </si>
  <si>
    <t>MENUDOS</t>
  </si>
  <si>
    <t>OFERTA 3KG PATA</t>
  </si>
  <si>
    <t>HAMBURGUESA DE POLLO</t>
  </si>
  <si>
    <t>DESPOSTE</t>
  </si>
  <si>
    <t>$ VIEJO</t>
  </si>
  <si>
    <t>COSTILLAR COMPLETO</t>
  </si>
  <si>
    <t>PIERNA MOCHA</t>
  </si>
  <si>
    <t>PIERNA PISTOLA</t>
  </si>
  <si>
    <t>CHACHO 1</t>
  </si>
  <si>
    <t>CHACHO 2</t>
  </si>
  <si>
    <t>DON CHACHO 3</t>
  </si>
  <si>
    <t xml:space="preserve">CABAÑA DEL VALLE </t>
  </si>
  <si>
    <t>CORTES</t>
  </si>
  <si>
    <t>PESO</t>
  </si>
  <si>
    <t>TOTAL</t>
  </si>
  <si>
    <t>MEDIA RES DE CARNE</t>
  </si>
  <si>
    <t>OCTAVO</t>
  </si>
  <si>
    <t>PIERNA</t>
  </si>
  <si>
    <t>CERDO</t>
  </si>
  <si>
    <t>MEDIA RES DE CERDO</t>
  </si>
  <si>
    <t>POLLO</t>
  </si>
  <si>
    <t>CAJA DE POLLO</t>
  </si>
  <si>
    <t>TOTAL STOK CARNICERIAS AL 07-05-26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</si>
</sst>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_-&quot;$&quot;\ * #,##0_-;\-&quot;$&quot;\ * #,##0_-;_-&quot;$&quot;\ * &quot;-&quot;_-;_-@"/>
    <numFmt numFmtId="166" formatCode="&quot;$&quot;\ #,##0;[Red]\-&quot;$&quot;\ #,##0"/>
    <numFmt numFmtId="167" formatCode="&quot;$&quot;\ #,##0"/>
    <numFmt numFmtId="168" formatCode="_(&quot;$&quot;\ * #,##0.00_);_(&quot;$&quot;\ * \(#,##0.00\);_(&quot;$&quot;\ * &quot;-&quot;??_);_(@_)"/>
    <numFmt numFmtId="169" formatCode="_-[$$-2C0A]\ * #,##0_-;\-[$$-2C0A]\ * #,##0_-;_-[$$-2C0A]\ * &quot;-&quot;_-;_-@"/>
  </numFmts>
  <fonts count="41">
    <font>
      <sz val="11.0"/>
      <color theme="1"/>
      <name val="Calibri"/>
      <scheme val="minor"/>
    </font>
    <font>
      <b/>
      <sz val="14.0"/>
      <color theme="0"/>
      <name val="Calibri"/>
    </font>
    <font/>
    <font>
      <b/>
      <sz val="12.0"/>
      <color theme="1"/>
      <name val="Calibri"/>
    </font>
    <font>
      <b/>
      <i/>
      <sz val="12.0"/>
      <color theme="1"/>
      <name val="Calibri"/>
    </font>
    <font>
      <b/>
      <i/>
      <sz val="14.0"/>
      <color theme="1"/>
      <name val="Calibri"/>
    </font>
    <font>
      <b/>
      <sz val="11.0"/>
      <color theme="1"/>
      <name val="Calibri"/>
    </font>
    <font>
      <b/>
      <sz val="12.0"/>
      <color rgb="FF00B050"/>
      <name val="Calibri"/>
    </font>
    <font>
      <b/>
      <sz val="12.0"/>
      <color rgb="FFFF0000"/>
      <name val="Calibri"/>
    </font>
    <font>
      <b/>
      <sz val="13.0"/>
      <color theme="1"/>
      <name val="Calibri"/>
    </font>
    <font>
      <b/>
      <sz val="9.0"/>
      <color rgb="FF2E75B5"/>
      <name val="Calibri"/>
    </font>
    <font>
      <sz val="11.0"/>
      <color theme="1"/>
      <name val="Calibri"/>
    </font>
    <font>
      <sz val="13.0"/>
      <color theme="1"/>
      <name val="Calibri"/>
    </font>
    <font>
      <sz val="12.0"/>
      <color rgb="FF00B050"/>
      <name val="Calibri"/>
    </font>
    <font>
      <sz val="12.0"/>
      <color rgb="FFFF0000"/>
      <name val="Calibri"/>
    </font>
    <font>
      <b/>
      <sz val="13.0"/>
      <color rgb="FF8EAADB"/>
      <name val="Calibri"/>
    </font>
    <font>
      <sz val="12.0"/>
      <color theme="1"/>
      <name val="Calibri"/>
    </font>
    <font>
      <b/>
      <u/>
      <sz val="12.0"/>
      <color theme="1"/>
      <name val="Calibri"/>
    </font>
    <font>
      <sz val="11.0"/>
      <color rgb="FFFF0000"/>
      <name val="Calibri"/>
    </font>
    <font>
      <b/>
      <u/>
      <sz val="11.0"/>
      <color theme="1"/>
      <name val="Calibri"/>
    </font>
    <font>
      <sz val="11.0"/>
      <color rgb="FFFFFF00"/>
      <name val="Calibri"/>
    </font>
    <font>
      <b/>
      <i/>
      <sz val="12.0"/>
      <color rgb="FF0000FF"/>
      <name val="Calibri"/>
    </font>
    <font>
      <b/>
      <i/>
      <u/>
      <sz val="14.0"/>
      <color theme="8"/>
      <name val="Calibri"/>
    </font>
    <font>
      <sz val="11.0"/>
      <color rgb="FF2E75B5"/>
      <name val="Calibri"/>
    </font>
    <font>
      <i/>
      <sz val="12.0"/>
      <color theme="1"/>
      <name val="Calibri"/>
    </font>
    <font>
      <sz val="13.0"/>
      <color rgb="FF00B050"/>
      <name val="Calibri"/>
    </font>
    <font>
      <sz val="13.0"/>
      <color rgb="FF2E75B5"/>
      <name val="Calibri"/>
    </font>
    <font>
      <b/>
      <sz val="13.0"/>
      <color rgb="FF548135"/>
      <name val="Calibri"/>
    </font>
    <font>
      <sz val="13.0"/>
      <color rgb="FFFF0000"/>
      <name val="Calibri"/>
    </font>
    <font>
      <b/>
      <i/>
      <u/>
      <sz val="14.0"/>
      <color theme="8"/>
      <name val="Calibri"/>
    </font>
    <font>
      <b/>
      <i/>
      <u/>
      <sz val="14.0"/>
      <color theme="8"/>
      <name val="Calibri"/>
    </font>
    <font>
      <b/>
      <u/>
      <sz val="11.0"/>
      <color theme="1"/>
      <name val="Calibri"/>
    </font>
    <font>
      <b/>
      <sz val="11.0"/>
      <color rgb="FFFF0000"/>
      <name val="Calibri"/>
    </font>
    <font>
      <color theme="1"/>
      <name val="Calibri"/>
      <scheme val="minor"/>
    </font>
    <font>
      <sz val="11.0"/>
      <color rgb="FF00B050"/>
      <name val="Calibri"/>
    </font>
    <font>
      <b/>
      <sz val="14.0"/>
      <color rgb="FF833C0B"/>
      <name val="Calibri"/>
    </font>
    <font>
      <i/>
      <sz val="11.0"/>
      <color rgb="FF385623"/>
      <name val="Calibri"/>
    </font>
    <font>
      <b/>
      <i/>
      <sz val="11.0"/>
      <color theme="1"/>
      <name val="Calibri"/>
    </font>
    <font>
      <sz val="11.0"/>
      <color rgb="FF000000"/>
      <name val="Calibri"/>
    </font>
    <font>
      <b/>
      <i/>
      <sz val="14.0"/>
      <color rgb="FFC00000"/>
      <name val="Calibri"/>
    </font>
    <font>
      <b/>
      <sz val="14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80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4" fontId="4" numFmtId="0" xfId="0" applyBorder="1" applyFill="1" applyFont="1"/>
    <xf borderId="8" fillId="4" fontId="5" numFmtId="0" xfId="0" applyBorder="1" applyFont="1"/>
    <xf borderId="4" fillId="3" fontId="6" numFmtId="0" xfId="0" applyAlignment="1" applyBorder="1" applyFont="1">
      <alignment horizontal="center"/>
    </xf>
    <xf borderId="9" fillId="5" fontId="3" numFmtId="0" xfId="0" applyBorder="1" applyFill="1" applyFont="1"/>
    <xf borderId="10" fillId="0" fontId="7" numFmtId="164" xfId="0" applyBorder="1" applyFont="1" applyNumberFormat="1"/>
    <xf borderId="11" fillId="0" fontId="8" numFmtId="164" xfId="0" applyBorder="1" applyFont="1" applyNumberFormat="1"/>
    <xf borderId="12" fillId="6" fontId="9" numFmtId="164" xfId="0" applyBorder="1" applyFill="1" applyFont="1" applyNumberFormat="1"/>
    <xf borderId="13" fillId="0" fontId="10" numFmtId="164" xfId="0" applyAlignment="1" applyBorder="1" applyFont="1" applyNumberFormat="1">
      <alignment shrinkToFit="0" wrapText="1"/>
    </xf>
    <xf borderId="14" fillId="0" fontId="6" numFmtId="164" xfId="0" applyAlignment="1" applyBorder="1" applyFont="1" applyNumberFormat="1">
      <alignment shrinkToFit="0" wrapText="1"/>
    </xf>
    <xf borderId="15" fillId="0" fontId="11" numFmtId="0" xfId="0" applyAlignment="1" applyBorder="1" applyFont="1">
      <alignment horizontal="center"/>
    </xf>
    <xf borderId="16" fillId="7" fontId="4" numFmtId="0" xfId="0" applyAlignment="1" applyBorder="1" applyFill="1" applyFont="1">
      <alignment horizontal="center"/>
    </xf>
    <xf borderId="17" fillId="7" fontId="4" numFmtId="0" xfId="0" applyAlignment="1" applyBorder="1" applyFont="1">
      <alignment horizontal="center"/>
    </xf>
    <xf borderId="18" fillId="7" fontId="4" numFmtId="0" xfId="0" applyAlignment="1" applyBorder="1" applyFont="1">
      <alignment horizontal="center"/>
    </xf>
    <xf borderId="19" fillId="0" fontId="12" numFmtId="0" xfId="0" applyBorder="1" applyFont="1"/>
    <xf borderId="20" fillId="0" fontId="13" numFmtId="165" xfId="0" applyBorder="1" applyFont="1" applyNumberFormat="1"/>
    <xf borderId="21" fillId="0" fontId="14" numFmtId="165" xfId="0" applyBorder="1" applyFont="1" applyNumberFormat="1"/>
    <xf borderId="22" fillId="6" fontId="9" numFmtId="166" xfId="0" applyBorder="1" applyFont="1" applyNumberFormat="1"/>
    <xf borderId="22" fillId="6" fontId="15" numFmtId="166" xfId="0" applyBorder="1" applyFont="1" applyNumberFormat="1"/>
    <xf borderId="23" fillId="0" fontId="16" numFmtId="167" xfId="0" applyBorder="1" applyFont="1" applyNumberFormat="1"/>
    <xf borderId="24" fillId="0" fontId="2" numFmtId="0" xfId="0" applyBorder="1" applyFont="1"/>
    <xf borderId="24" fillId="0" fontId="17" numFmtId="0" xfId="0" applyBorder="1" applyFont="1"/>
    <xf borderId="0" fillId="0" fontId="11" numFmtId="0" xfId="0" applyFont="1"/>
    <xf borderId="0" fillId="0" fontId="18" numFmtId="0" xfId="0" applyFont="1"/>
    <xf borderId="0" fillId="0" fontId="11" numFmtId="166" xfId="0" applyFont="1" applyNumberFormat="1"/>
    <xf borderId="25" fillId="0" fontId="14" numFmtId="168" xfId="0" applyBorder="1" applyFont="1" applyNumberFormat="1"/>
    <xf borderId="24" fillId="0" fontId="11" numFmtId="0" xfId="0" applyBorder="1" applyFont="1"/>
    <xf borderId="25" fillId="0" fontId="11" numFmtId="168" xfId="0" applyBorder="1" applyFont="1" applyNumberFormat="1"/>
    <xf borderId="26" fillId="8" fontId="19" numFmtId="0" xfId="0" applyAlignment="1" applyBorder="1" applyFill="1" applyFont="1">
      <alignment horizontal="left" vertical="center"/>
    </xf>
    <xf borderId="27" fillId="8" fontId="11" numFmtId="0" xfId="0" applyBorder="1" applyFont="1"/>
    <xf borderId="28" fillId="8" fontId="11" numFmtId="168" xfId="0" applyBorder="1" applyFont="1" applyNumberFormat="1"/>
    <xf borderId="24" fillId="0" fontId="11" numFmtId="0" xfId="0" applyAlignment="1" applyBorder="1" applyFont="1">
      <alignment horizontal="left" vertical="center"/>
    </xf>
    <xf borderId="29" fillId="0" fontId="13" numFmtId="165" xfId="0" applyBorder="1" applyFont="1" applyNumberFormat="1"/>
    <xf borderId="0" fillId="0" fontId="20" numFmtId="0" xfId="0" applyFont="1"/>
    <xf borderId="24" fillId="0" fontId="6" numFmtId="0" xfId="0" applyAlignment="1" applyBorder="1" applyFont="1">
      <alignment horizontal="left" vertical="center"/>
    </xf>
    <xf borderId="0" fillId="0" fontId="6" numFmtId="0" xfId="0" applyFont="1"/>
    <xf borderId="0" fillId="0" fontId="6" numFmtId="166" xfId="0" applyFont="1" applyNumberFormat="1"/>
    <xf borderId="25" fillId="0" fontId="6" numFmtId="168" xfId="0" applyBorder="1" applyFont="1" applyNumberFormat="1"/>
    <xf borderId="16" fillId="9" fontId="11" numFmtId="0" xfId="0" applyAlignment="1" applyBorder="1" applyFill="1" applyFont="1">
      <alignment horizontal="left" vertical="center"/>
    </xf>
    <xf borderId="17" fillId="9" fontId="11" numFmtId="0" xfId="0" applyBorder="1" applyFont="1"/>
    <xf borderId="16" fillId="9" fontId="21" numFmtId="4" xfId="0" applyBorder="1" applyFont="1" applyNumberFormat="1"/>
    <xf borderId="18" fillId="9" fontId="22" numFmtId="168" xfId="0" applyBorder="1" applyFont="1" applyNumberFormat="1"/>
    <xf borderId="30" fillId="0" fontId="12" numFmtId="0" xfId="0" applyBorder="1" applyFont="1"/>
    <xf borderId="31" fillId="0" fontId="13" numFmtId="165" xfId="0" applyBorder="1" applyFont="1" applyNumberFormat="1"/>
    <xf borderId="32" fillId="0" fontId="14" numFmtId="165" xfId="0" applyBorder="1" applyFont="1" applyNumberFormat="1"/>
    <xf borderId="33" fillId="6" fontId="9" numFmtId="166" xfId="0" applyBorder="1" applyFont="1" applyNumberFormat="1"/>
    <xf borderId="33" fillId="6" fontId="15" numFmtId="166" xfId="0" applyBorder="1" applyFont="1" applyNumberFormat="1"/>
    <xf borderId="34" fillId="0" fontId="16" numFmtId="167" xfId="0" applyBorder="1" applyFont="1" applyNumberFormat="1"/>
    <xf borderId="0" fillId="0" fontId="9" numFmtId="0" xfId="0" applyFont="1"/>
    <xf borderId="0" fillId="0" fontId="23" numFmtId="0" xfId="0" applyFont="1"/>
    <xf borderId="35" fillId="4" fontId="24" numFmtId="0" xfId="0" applyBorder="1" applyFont="1"/>
    <xf borderId="36" fillId="4" fontId="16" numFmtId="0" xfId="0" applyBorder="1" applyFont="1"/>
    <xf borderId="35" fillId="5" fontId="3" numFmtId="0" xfId="0" applyBorder="1" applyFont="1"/>
    <xf borderId="37" fillId="5" fontId="8" numFmtId="167" xfId="0" applyBorder="1" applyFont="1" applyNumberFormat="1"/>
    <xf borderId="37" fillId="0" fontId="6" numFmtId="16" xfId="0" applyBorder="1" applyFont="1" applyNumberFormat="1"/>
    <xf borderId="38" fillId="0" fontId="12" numFmtId="0" xfId="0" applyBorder="1" applyFont="1"/>
    <xf borderId="39" fillId="6" fontId="9" numFmtId="167" xfId="0" applyBorder="1" applyFont="1" applyNumberFormat="1"/>
    <xf borderId="22" fillId="6" fontId="9" numFmtId="167" xfId="0" applyBorder="1" applyFont="1" applyNumberFormat="1"/>
    <xf borderId="33" fillId="6" fontId="9" numFmtId="167" xfId="0" applyBorder="1" applyFont="1" applyNumberFormat="1"/>
    <xf borderId="0" fillId="0" fontId="12" numFmtId="0" xfId="0" applyFont="1"/>
    <xf borderId="0" fillId="0" fontId="25" numFmtId="167" xfId="0" applyFont="1" applyNumberFormat="1"/>
    <xf borderId="0" fillId="0" fontId="9" numFmtId="167" xfId="0" applyFont="1" applyNumberFormat="1"/>
    <xf borderId="0" fillId="0" fontId="26" numFmtId="167" xfId="0" applyFont="1" applyNumberFormat="1"/>
    <xf borderId="40" fillId="4" fontId="24" numFmtId="0" xfId="0" applyBorder="1" applyFont="1"/>
    <xf borderId="36" fillId="5" fontId="8" numFmtId="167" xfId="0" applyBorder="1" applyFont="1" applyNumberFormat="1"/>
    <xf borderId="6" fillId="0" fontId="3" numFmtId="16" xfId="0" applyBorder="1" applyFont="1" applyNumberFormat="1"/>
    <xf borderId="11" fillId="0" fontId="10" numFmtId="164" xfId="0" applyAlignment="1" applyBorder="1" applyFont="1" applyNumberFormat="1">
      <alignment shrinkToFit="0" wrapText="1"/>
    </xf>
    <xf borderId="41" fillId="0" fontId="6" numFmtId="164" xfId="0" applyAlignment="1" applyBorder="1" applyFont="1" applyNumberFormat="1">
      <alignment shrinkToFit="0" wrapText="1"/>
    </xf>
    <xf borderId="7" fillId="8" fontId="11" numFmtId="164" xfId="0" applyBorder="1" applyFont="1" applyNumberFormat="1"/>
    <xf borderId="42" fillId="8" fontId="6" numFmtId="0" xfId="0" applyAlignment="1" applyBorder="1" applyFont="1">
      <alignment horizontal="center"/>
    </xf>
    <xf borderId="43" fillId="8" fontId="6" numFmtId="0" xfId="0" applyAlignment="1" applyBorder="1" applyFont="1">
      <alignment horizontal="center"/>
    </xf>
    <xf borderId="39" fillId="6" fontId="27" numFmtId="167" xfId="0" applyBorder="1" applyFont="1" applyNumberFormat="1"/>
    <xf borderId="44" fillId="0" fontId="26" numFmtId="167" xfId="0" applyBorder="1" applyFont="1" applyNumberFormat="1"/>
    <xf borderId="45" fillId="0" fontId="16" numFmtId="167" xfId="0" applyBorder="1" applyFont="1" applyNumberFormat="1"/>
    <xf borderId="26" fillId="8" fontId="11" numFmtId="0" xfId="0" applyBorder="1" applyFont="1"/>
    <xf borderId="0" fillId="0" fontId="11" numFmtId="168" xfId="0" applyFont="1" applyNumberFormat="1"/>
    <xf borderId="25" fillId="0" fontId="18" numFmtId="168" xfId="0" applyBorder="1" applyFont="1" applyNumberFormat="1"/>
    <xf borderId="22" fillId="6" fontId="27" numFmtId="167" xfId="0" applyBorder="1" applyFont="1" applyNumberFormat="1"/>
    <xf borderId="21" fillId="0" fontId="26" numFmtId="167" xfId="0" applyBorder="1" applyFont="1" applyNumberFormat="1"/>
    <xf borderId="46" fillId="0" fontId="16" numFmtId="167" xfId="0" applyBorder="1" applyFont="1" applyNumberFormat="1"/>
    <xf borderId="47" fillId="0" fontId="12" numFmtId="0" xfId="0" applyBorder="1" applyFont="1"/>
    <xf borderId="48" fillId="0" fontId="28" numFmtId="167" xfId="0" applyBorder="1" applyFont="1" applyNumberFormat="1"/>
    <xf borderId="49" fillId="6" fontId="27" numFmtId="167" xfId="0" applyBorder="1" applyFont="1" applyNumberFormat="1"/>
    <xf borderId="49" fillId="6" fontId="9" numFmtId="167" xfId="0" applyBorder="1" applyFont="1" applyNumberFormat="1"/>
    <xf borderId="48" fillId="0" fontId="26" numFmtId="167" xfId="0" applyBorder="1" applyFont="1" applyNumberFormat="1"/>
    <xf borderId="50" fillId="0" fontId="16" numFmtId="167" xfId="0" applyBorder="1" applyFont="1" applyNumberFormat="1"/>
    <xf borderId="20" fillId="0" fontId="28" numFmtId="167" xfId="0" applyBorder="1" applyFont="1" applyNumberFormat="1"/>
    <xf borderId="20" fillId="0" fontId="25" numFmtId="167" xfId="0" applyBorder="1" applyFont="1" applyNumberFormat="1"/>
    <xf borderId="20" fillId="0" fontId="9" numFmtId="167" xfId="0" applyBorder="1" applyFont="1" applyNumberFormat="1"/>
    <xf borderId="51" fillId="0" fontId="16" numFmtId="167" xfId="0" applyBorder="1" applyFont="1" applyNumberFormat="1"/>
    <xf borderId="52" fillId="8" fontId="11" numFmtId="0" xfId="0" applyBorder="1" applyFont="1"/>
    <xf borderId="53" fillId="0" fontId="11" numFmtId="0" xfId="0" applyBorder="1" applyFont="1"/>
    <xf borderId="25" fillId="0" fontId="29" numFmtId="168" xfId="0" applyBorder="1" applyFont="1" applyNumberFormat="1"/>
    <xf borderId="19" fillId="0" fontId="11" numFmtId="0" xfId="0" applyBorder="1" applyFont="1"/>
    <xf borderId="20" fillId="0" fontId="11" numFmtId="0" xfId="0" applyBorder="1" applyFont="1"/>
    <xf borderId="20" fillId="0" fontId="9" numFmtId="0" xfId="0" applyBorder="1" applyFont="1"/>
    <xf borderId="21" fillId="0" fontId="23" numFmtId="0" xfId="0" applyBorder="1" applyFont="1"/>
    <xf borderId="52" fillId="9" fontId="11" numFmtId="0" xfId="0" applyBorder="1" applyFont="1"/>
    <xf borderId="54" fillId="9" fontId="11" numFmtId="0" xfId="0" applyBorder="1" applyFont="1"/>
    <xf borderId="30" fillId="0" fontId="11" numFmtId="0" xfId="0" applyBorder="1" applyFont="1"/>
    <xf borderId="31" fillId="0" fontId="11" numFmtId="0" xfId="0" applyBorder="1" applyFont="1"/>
    <xf borderId="31" fillId="0" fontId="9" numFmtId="0" xfId="0" applyBorder="1" applyFont="1"/>
    <xf borderId="32" fillId="0" fontId="23" numFmtId="0" xfId="0" applyBorder="1" applyFont="1"/>
    <xf borderId="0" fillId="0" fontId="21" numFmtId="4" xfId="0" applyFont="1" applyNumberFormat="1"/>
    <xf borderId="0" fillId="0" fontId="30" numFmtId="168" xfId="0" applyFont="1" applyNumberFormat="1"/>
    <xf borderId="55" fillId="4" fontId="24" numFmtId="0" xfId="0" applyBorder="1" applyFont="1"/>
    <xf borderId="37" fillId="0" fontId="3" numFmtId="16" xfId="0" applyBorder="1" applyFont="1" applyNumberFormat="1"/>
    <xf borderId="16" fillId="8" fontId="11" numFmtId="164" xfId="0" applyBorder="1" applyFont="1" applyNumberFormat="1"/>
    <xf borderId="17" fillId="8" fontId="6" numFmtId="0" xfId="0" applyAlignment="1" applyBorder="1" applyFont="1">
      <alignment horizontal="center"/>
    </xf>
    <xf borderId="18" fillId="8" fontId="6" numFmtId="0" xfId="0" applyAlignment="1" applyBorder="1" applyFont="1">
      <alignment horizontal="center"/>
    </xf>
    <xf borderId="56" fillId="0" fontId="26" numFmtId="167" xfId="0" applyBorder="1" applyFont="1" applyNumberFormat="1"/>
    <xf borderId="57" fillId="0" fontId="16" numFmtId="167" xfId="0" applyBorder="1" applyFont="1" applyNumberFormat="1"/>
    <xf borderId="26" fillId="8" fontId="31" numFmtId="0" xfId="0" applyBorder="1" applyFont="1"/>
    <xf borderId="0" fillId="0" fontId="32" numFmtId="0" xfId="0" applyFont="1"/>
    <xf borderId="0" fillId="0" fontId="6" numFmtId="168" xfId="0" applyFont="1" applyNumberFormat="1"/>
    <xf borderId="25" fillId="0" fontId="32" numFmtId="168" xfId="0" applyBorder="1" applyFont="1" applyNumberFormat="1"/>
    <xf borderId="29" fillId="0" fontId="26" numFmtId="167" xfId="0" applyBorder="1" applyFont="1" applyNumberFormat="1"/>
    <xf borderId="16" fillId="9" fontId="11" numFmtId="0" xfId="0" applyBorder="1" applyFont="1"/>
    <xf borderId="0" fillId="0" fontId="33" numFmtId="0" xfId="0" applyFont="1"/>
    <xf borderId="0" fillId="0" fontId="1" numFmtId="0" xfId="0" applyAlignment="1" applyFont="1">
      <alignment horizontal="center"/>
    </xf>
    <xf borderId="58" fillId="0" fontId="26" numFmtId="167" xfId="0" applyBorder="1" applyFont="1" applyNumberFormat="1"/>
    <xf borderId="27" fillId="2" fontId="1" numFmtId="0" xfId="0" applyAlignment="1" applyBorder="1" applyFont="1">
      <alignment horizontal="center"/>
    </xf>
    <xf borderId="4" fillId="0" fontId="3" numFmtId="0" xfId="0" applyBorder="1" applyFont="1"/>
    <xf borderId="8" fillId="0" fontId="11" numFmtId="0" xfId="0" applyBorder="1" applyFont="1"/>
    <xf borderId="59" fillId="5" fontId="8" numFmtId="167" xfId="0" applyBorder="1" applyFont="1" applyNumberFormat="1"/>
    <xf borderId="60" fillId="0" fontId="12" numFmtId="0" xfId="0" applyBorder="1" applyFont="1"/>
    <xf borderId="57" fillId="0" fontId="11" numFmtId="0" xfId="0" applyBorder="1" applyFont="1"/>
    <xf borderId="61" fillId="0" fontId="34" numFmtId="167" xfId="0" applyBorder="1" applyFont="1" applyNumberFormat="1"/>
    <xf borderId="62" fillId="6" fontId="9" numFmtId="167" xfId="0" applyBorder="1" applyFont="1" applyNumberFormat="1"/>
    <xf borderId="63" fillId="0" fontId="23" numFmtId="167" xfId="0" applyBorder="1" applyFont="1" applyNumberFormat="1"/>
    <xf borderId="64" fillId="0" fontId="12" numFmtId="0" xfId="0" applyBorder="1" applyFont="1"/>
    <xf borderId="23" fillId="0" fontId="11" numFmtId="0" xfId="0" applyBorder="1" applyFont="1"/>
    <xf borderId="51" fillId="0" fontId="34" numFmtId="167" xfId="0" applyBorder="1" applyFont="1" applyNumberFormat="1"/>
    <xf borderId="65" fillId="6" fontId="9" numFmtId="167" xfId="0" applyBorder="1" applyFont="1" applyNumberFormat="1"/>
    <xf borderId="20" fillId="0" fontId="23" numFmtId="167" xfId="0" applyBorder="1" applyFont="1" applyNumberFormat="1"/>
    <xf borderId="66" fillId="0" fontId="12" numFmtId="0" xfId="0" applyBorder="1" applyFont="1"/>
    <xf borderId="34" fillId="0" fontId="11" numFmtId="0" xfId="0" applyBorder="1" applyFont="1"/>
    <xf borderId="67" fillId="0" fontId="34" numFmtId="167" xfId="0" applyBorder="1" applyFont="1" applyNumberFormat="1"/>
    <xf borderId="68" fillId="6" fontId="9" numFmtId="167" xfId="0" applyBorder="1" applyFont="1" applyNumberFormat="1"/>
    <xf borderId="31" fillId="0" fontId="23" numFmtId="167" xfId="0" applyBorder="1" applyFont="1" applyNumberFormat="1"/>
    <xf borderId="0" fillId="0" fontId="11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18" numFmtId="168" xfId="0" applyFont="1" applyNumberFormat="1"/>
    <xf borderId="0" fillId="0" fontId="32" numFmtId="168" xfId="0" applyFont="1" applyNumberFormat="1"/>
    <xf borderId="4" fillId="9" fontId="35" numFmtId="0" xfId="0" applyAlignment="1" applyBorder="1" applyFont="1">
      <alignment horizontal="center"/>
    </xf>
    <xf borderId="69" fillId="0" fontId="2" numFmtId="0" xfId="0" applyBorder="1" applyFont="1"/>
    <xf borderId="55" fillId="7" fontId="35" numFmtId="0" xfId="0" applyBorder="1" applyFont="1"/>
    <xf borderId="70" fillId="7" fontId="35" numFmtId="0" xfId="0" applyAlignment="1" applyBorder="1" applyFont="1">
      <alignment horizontal="center"/>
    </xf>
    <xf borderId="71" fillId="0" fontId="2" numFmtId="0" xfId="0" applyBorder="1" applyFont="1"/>
    <xf borderId="72" fillId="0" fontId="2" numFmtId="0" xfId="0" applyBorder="1" applyFont="1"/>
    <xf borderId="65" fillId="7" fontId="35" numFmtId="0" xfId="0" applyBorder="1" applyFont="1"/>
    <xf borderId="73" fillId="7" fontId="35" numFmtId="0" xfId="0" applyBorder="1" applyFont="1"/>
    <xf borderId="4" fillId="7" fontId="35" numFmtId="0" xfId="0" applyAlignment="1" applyBorder="1" applyFont="1">
      <alignment horizontal="center"/>
    </xf>
    <xf borderId="65" fillId="10" fontId="36" numFmtId="169" xfId="0" applyBorder="1" applyFill="1" applyFont="1" applyNumberFormat="1"/>
    <xf borderId="65" fillId="7" fontId="35" numFmtId="169" xfId="0" applyBorder="1" applyFont="1" applyNumberFormat="1"/>
    <xf borderId="74" fillId="11" fontId="16" numFmtId="0" xfId="0" applyBorder="1" applyFill="1" applyFont="1"/>
    <xf borderId="63" fillId="0" fontId="11" numFmtId="0" xfId="0" applyAlignment="1" applyBorder="1" applyFont="1">
      <alignment horizontal="center"/>
    </xf>
    <xf borderId="44" fillId="0" fontId="11" numFmtId="0" xfId="0" applyAlignment="1" applyBorder="1" applyFont="1">
      <alignment horizontal="center"/>
    </xf>
    <xf borderId="61" fillId="0" fontId="37" numFmtId="169" xfId="0" applyBorder="1" applyFont="1" applyNumberFormat="1"/>
    <xf borderId="19" fillId="11" fontId="16" numFmtId="0" xfId="0" applyBorder="1" applyFont="1"/>
    <xf borderId="75" fillId="0" fontId="11" numFmtId="0" xfId="0" applyAlignment="1" applyBorder="1" applyFont="1">
      <alignment horizontal="center"/>
    </xf>
    <xf borderId="20" fillId="0" fontId="11" numFmtId="0" xfId="0" applyAlignment="1" applyBorder="1" applyFont="1">
      <alignment horizontal="center"/>
    </xf>
    <xf borderId="21" fillId="0" fontId="11" numFmtId="0" xfId="0" applyAlignment="1" applyBorder="1" applyFont="1">
      <alignment horizontal="center"/>
    </xf>
    <xf borderId="76" fillId="11" fontId="16" numFmtId="0" xfId="0" applyBorder="1" applyFont="1"/>
    <xf borderId="20" fillId="0" fontId="18" numFmtId="0" xfId="0" applyBorder="1" applyFont="1"/>
    <xf borderId="51" fillId="0" fontId="11" numFmtId="0" xfId="0" applyAlignment="1" applyBorder="1" applyFont="1">
      <alignment horizontal="center"/>
    </xf>
    <xf borderId="21" fillId="0" fontId="11" numFmtId="0" xfId="0" applyBorder="1" applyFont="1"/>
    <xf borderId="20" fillId="0" fontId="11" numFmtId="0" xfId="0" applyAlignment="1" applyBorder="1" applyFont="1">
      <alignment horizontal="right"/>
    </xf>
    <xf borderId="51" fillId="0" fontId="11" numFmtId="0" xfId="0" applyBorder="1" applyFont="1"/>
    <xf borderId="20" fillId="0" fontId="18" numFmtId="0" xfId="0" applyAlignment="1" applyBorder="1" applyFont="1">
      <alignment horizontal="right"/>
    </xf>
    <xf borderId="20" fillId="0" fontId="38" numFmtId="0" xfId="0" applyBorder="1" applyFont="1"/>
    <xf borderId="63" fillId="0" fontId="11" numFmtId="0" xfId="0" applyBorder="1" applyFont="1"/>
    <xf borderId="75" fillId="0" fontId="11" numFmtId="0" xfId="0" applyBorder="1" applyFont="1"/>
    <xf borderId="48" fillId="0" fontId="11" numFmtId="0" xfId="0" applyBorder="1" applyFont="1"/>
    <xf borderId="44" fillId="0" fontId="11" numFmtId="0" xfId="0" applyBorder="1" applyFont="1"/>
    <xf borderId="73" fillId="10" fontId="36" numFmtId="169" xfId="0" applyBorder="1" applyFont="1" applyNumberFormat="1"/>
    <xf borderId="77" fillId="10" fontId="36" numFmtId="169" xfId="0" applyBorder="1" applyFont="1" applyNumberFormat="1"/>
    <xf borderId="73" fillId="7" fontId="35" numFmtId="169" xfId="0" applyBorder="1" applyFont="1" applyNumberFormat="1"/>
    <xf borderId="63" fillId="0" fontId="12" numFmtId="0" xfId="0" applyBorder="1" applyFont="1"/>
    <xf borderId="56" fillId="0" fontId="12" numFmtId="0" xfId="0" applyBorder="1" applyFont="1"/>
    <xf borderId="23" fillId="10" fontId="36" numFmtId="169" xfId="0" applyBorder="1" applyFont="1" applyNumberFormat="1"/>
    <xf borderId="20" fillId="10" fontId="36" numFmtId="169" xfId="0" applyBorder="1" applyFont="1" applyNumberFormat="1"/>
    <xf borderId="56" fillId="0" fontId="11" numFmtId="0" xfId="0" applyBorder="1" applyFont="1"/>
    <xf borderId="78" fillId="10" fontId="36" numFmtId="169" xfId="0" applyBorder="1" applyFont="1" applyNumberFormat="1"/>
    <xf borderId="29" fillId="0" fontId="11" numFmtId="0" xfId="0" applyBorder="1" applyFont="1"/>
    <xf borderId="58" fillId="0" fontId="11" numFmtId="0" xfId="0" applyBorder="1" applyFont="1"/>
    <xf borderId="34" fillId="10" fontId="36" numFmtId="169" xfId="0" applyBorder="1" applyFont="1" applyNumberFormat="1"/>
    <xf borderId="79" fillId="0" fontId="37" numFmtId="169" xfId="0" applyBorder="1" applyFont="1" applyNumberFormat="1"/>
    <xf borderId="4" fillId="4" fontId="39" numFmtId="0" xfId="0" applyAlignment="1" applyBorder="1" applyFont="1">
      <alignment horizontal="center"/>
    </xf>
    <xf borderId="18" fillId="4" fontId="39" numFmtId="169" xfId="0" applyBorder="1" applyFont="1" applyNumberFormat="1"/>
    <xf borderId="4" fillId="0" fontId="40" numFmtId="0" xfId="0" applyAlignment="1" applyBorder="1" applyFont="1">
      <alignment horizontal="center"/>
    </xf>
    <xf borderId="8" fillId="0" fontId="40" numFmtId="16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1.86"/>
    <col customWidth="1" min="3" max="3" width="11.29"/>
    <col customWidth="1" min="4" max="4" width="10.71"/>
    <col customWidth="1" min="5" max="5" width="11.29"/>
    <col customWidth="1" min="6" max="6" width="16.86"/>
    <col customWidth="1" min="7" max="7" width="8.14"/>
    <col customWidth="1" min="8" max="8" width="3.71"/>
    <col customWidth="1" min="9" max="9" width="3.0"/>
    <col customWidth="1" min="10" max="10" width="21.57"/>
    <col customWidth="1" min="11" max="11" width="8.86"/>
    <col customWidth="1" min="12" max="12" width="2.86"/>
    <col customWidth="1" min="13" max="14" width="11.43"/>
    <col customWidth="1" min="15" max="15" width="21.43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20.25" customHeight="1">
      <c r="A2" s="4" t="s">
        <v>1</v>
      </c>
      <c r="B2" s="5"/>
      <c r="C2" s="5"/>
      <c r="D2" s="5"/>
      <c r="E2" s="6"/>
      <c r="F2" s="7" t="s">
        <v>2</v>
      </c>
      <c r="G2" s="8">
        <v>1.05</v>
      </c>
      <c r="J2" s="9" t="s">
        <v>3</v>
      </c>
      <c r="K2" s="5"/>
      <c r="L2" s="5"/>
      <c r="M2" s="5"/>
      <c r="N2" s="5"/>
      <c r="O2" s="6"/>
    </row>
    <row r="3" ht="33.75" customHeight="1">
      <c r="A3" s="10" t="s">
        <v>4</v>
      </c>
      <c r="B3" s="11" t="s">
        <v>5</v>
      </c>
      <c r="C3" s="12" t="s">
        <v>6</v>
      </c>
      <c r="D3" s="13" t="s">
        <v>7</v>
      </c>
      <c r="E3" s="14" t="s">
        <v>8</v>
      </c>
      <c r="F3" s="15" t="s">
        <v>9</v>
      </c>
      <c r="G3" s="16"/>
      <c r="J3" s="17" t="s">
        <v>10</v>
      </c>
      <c r="K3" s="18" t="s">
        <v>11</v>
      </c>
      <c r="L3" s="18"/>
      <c r="M3" s="18"/>
      <c r="N3" s="18" t="s">
        <v>12</v>
      </c>
      <c r="O3" s="19" t="s">
        <v>13</v>
      </c>
    </row>
    <row r="4" ht="18.0" customHeight="1">
      <c r="A4" s="20" t="s">
        <v>14</v>
      </c>
      <c r="B4" s="21">
        <v>21890.0</v>
      </c>
      <c r="C4" s="22">
        <v>22990.0</v>
      </c>
      <c r="D4" s="23">
        <v>22990.0</v>
      </c>
      <c r="E4" s="24">
        <v>21890.0</v>
      </c>
      <c r="F4" s="25">
        <f>PRODUCT(E4,G2)</f>
        <v>22984.5</v>
      </c>
      <c r="G4" s="26"/>
      <c r="J4" s="27" t="s">
        <v>15</v>
      </c>
      <c r="K4" s="28">
        <v>111.0</v>
      </c>
      <c r="L4" s="29">
        <v>-1.0</v>
      </c>
      <c r="M4" s="29"/>
      <c r="N4" s="30">
        <v>10400.0</v>
      </c>
      <c r="O4" s="31">
        <f t="shared" ref="O4:O33" si="1">PRODUCT(K4:N4)</f>
        <v>-1154400</v>
      </c>
    </row>
    <row r="5" ht="18.0" customHeight="1">
      <c r="A5" s="20" t="s">
        <v>16</v>
      </c>
      <c r="B5" s="21">
        <v>21790.0</v>
      </c>
      <c r="C5" s="22">
        <v>22950.0</v>
      </c>
      <c r="D5" s="23">
        <v>22950.0</v>
      </c>
      <c r="E5" s="24">
        <v>21790.0</v>
      </c>
      <c r="F5" s="25">
        <f>PRODUCT(E5,G2)</f>
        <v>22879.5</v>
      </c>
      <c r="G5" s="26"/>
      <c r="J5" s="32" t="s">
        <v>17</v>
      </c>
      <c r="K5" s="28"/>
      <c r="L5" s="28"/>
      <c r="M5" s="28"/>
      <c r="N5" s="28"/>
      <c r="O5" s="33">
        <f t="shared" si="1"/>
        <v>0</v>
      </c>
    </row>
    <row r="6" ht="18.0" customHeight="1">
      <c r="A6" s="20" t="s">
        <v>18</v>
      </c>
      <c r="B6" s="21">
        <v>18750.0</v>
      </c>
      <c r="C6" s="22">
        <v>19690.0</v>
      </c>
      <c r="D6" s="23">
        <v>18690.0</v>
      </c>
      <c r="E6" s="24">
        <v>18750.0</v>
      </c>
      <c r="F6" s="25">
        <f>PRODUCT(E6,G2)</f>
        <v>19687.5</v>
      </c>
      <c r="G6" s="26"/>
      <c r="J6" s="34" t="s">
        <v>19</v>
      </c>
      <c r="K6" s="35"/>
      <c r="L6" s="35"/>
      <c r="M6" s="35"/>
      <c r="N6" s="35"/>
      <c r="O6" s="36">
        <f t="shared" si="1"/>
        <v>0</v>
      </c>
    </row>
    <row r="7" ht="18.0" customHeight="1">
      <c r="A7" s="20" t="s">
        <v>20</v>
      </c>
      <c r="B7" s="21">
        <v>25400.0</v>
      </c>
      <c r="C7" s="22">
        <v>26670.0</v>
      </c>
      <c r="D7" s="23">
        <v>25950.0</v>
      </c>
      <c r="E7" s="24">
        <v>25400.0</v>
      </c>
      <c r="F7" s="25">
        <f>PRODUCT(E7,G2)</f>
        <v>26670</v>
      </c>
      <c r="G7" s="26"/>
      <c r="J7" s="37" t="s">
        <v>21</v>
      </c>
      <c r="K7" s="28">
        <v>3.335</v>
      </c>
      <c r="L7" s="28"/>
      <c r="M7" s="28"/>
      <c r="N7" s="30">
        <f t="shared" ref="N7:N13" si="2">(D4)</f>
        <v>22990</v>
      </c>
      <c r="O7" s="33">
        <f t="shared" si="1"/>
        <v>76671.65</v>
      </c>
    </row>
    <row r="8" ht="18.0" customHeight="1">
      <c r="A8" s="20" t="s">
        <v>22</v>
      </c>
      <c r="B8" s="21">
        <v>18900.0</v>
      </c>
      <c r="C8" s="22">
        <v>19850.0</v>
      </c>
      <c r="D8" s="23">
        <v>19500.0</v>
      </c>
      <c r="E8" s="24">
        <v>18900.0</v>
      </c>
      <c r="F8" s="25">
        <f>PRODUCT(E8,G2)</f>
        <v>19845</v>
      </c>
      <c r="G8" s="26"/>
      <c r="J8" s="37" t="s">
        <v>23</v>
      </c>
      <c r="K8" s="28">
        <v>2.58</v>
      </c>
      <c r="L8" s="28"/>
      <c r="M8" s="28"/>
      <c r="N8" s="30">
        <f t="shared" si="2"/>
        <v>22950</v>
      </c>
      <c r="O8" s="33">
        <f t="shared" si="1"/>
        <v>59211</v>
      </c>
    </row>
    <row r="9" ht="18.0" customHeight="1">
      <c r="A9" s="20" t="s">
        <v>24</v>
      </c>
      <c r="B9" s="21">
        <v>18650.0</v>
      </c>
      <c r="C9" s="22">
        <v>19580.0</v>
      </c>
      <c r="D9" s="23">
        <v>19180.0</v>
      </c>
      <c r="E9" s="24">
        <v>18650.0</v>
      </c>
      <c r="F9" s="25">
        <f>PRODUCT(E9,G2)</f>
        <v>19582.5</v>
      </c>
      <c r="G9" s="26"/>
      <c r="J9" s="37" t="s">
        <v>25</v>
      </c>
      <c r="K9" s="28">
        <v>1.395</v>
      </c>
      <c r="L9" s="28"/>
      <c r="M9" s="28"/>
      <c r="N9" s="30">
        <f t="shared" si="2"/>
        <v>18690</v>
      </c>
      <c r="O9" s="33">
        <f t="shared" si="1"/>
        <v>26072.55</v>
      </c>
    </row>
    <row r="10" ht="18.0" customHeight="1">
      <c r="A10" s="20" t="s">
        <v>26</v>
      </c>
      <c r="B10" s="21">
        <v>16750.0</v>
      </c>
      <c r="C10" s="22">
        <v>17590.0</v>
      </c>
      <c r="D10" s="23">
        <v>17590.0</v>
      </c>
      <c r="E10" s="24">
        <v>16750.0</v>
      </c>
      <c r="F10" s="25">
        <f>PRODUCT(E10,G2)</f>
        <v>17587.5</v>
      </c>
      <c r="G10" s="26"/>
      <c r="J10" s="37" t="s">
        <v>27</v>
      </c>
      <c r="K10" s="28">
        <v>0.48</v>
      </c>
      <c r="L10" s="28"/>
      <c r="M10" s="28"/>
      <c r="N10" s="30">
        <f t="shared" si="2"/>
        <v>25950</v>
      </c>
      <c r="O10" s="33">
        <f t="shared" si="1"/>
        <v>12456</v>
      </c>
    </row>
    <row r="11" ht="18.0" customHeight="1">
      <c r="A11" s="20" t="s">
        <v>28</v>
      </c>
      <c r="B11" s="21">
        <v>15350.0</v>
      </c>
      <c r="C11" s="22">
        <v>16100.0</v>
      </c>
      <c r="D11" s="23">
        <v>15900.0</v>
      </c>
      <c r="E11" s="24">
        <v>15350.0</v>
      </c>
      <c r="F11" s="25">
        <f>PRODUCT(E11,G2)</f>
        <v>16117.5</v>
      </c>
      <c r="G11" s="26"/>
      <c r="J11" s="37" t="s">
        <v>29</v>
      </c>
      <c r="K11" s="28">
        <v>8.85</v>
      </c>
      <c r="L11" s="28"/>
      <c r="M11" s="28"/>
      <c r="N11" s="30">
        <f t="shared" si="2"/>
        <v>19500</v>
      </c>
      <c r="O11" s="33">
        <f t="shared" si="1"/>
        <v>172575</v>
      </c>
    </row>
    <row r="12" ht="18.0" customHeight="1">
      <c r="A12" s="20" t="s">
        <v>30</v>
      </c>
      <c r="B12" s="21">
        <v>19300.0</v>
      </c>
      <c r="C12" s="22">
        <v>20270.0</v>
      </c>
      <c r="D12" s="23">
        <v>19900.0</v>
      </c>
      <c r="E12" s="24">
        <v>19300.0</v>
      </c>
      <c r="F12" s="25">
        <f>PRODUCT(E12,G2)</f>
        <v>20265</v>
      </c>
      <c r="G12" s="26"/>
      <c r="J12" s="37" t="s">
        <v>31</v>
      </c>
      <c r="K12" s="28">
        <v>1.31</v>
      </c>
      <c r="L12" s="28"/>
      <c r="M12" s="28"/>
      <c r="N12" s="30">
        <f t="shared" si="2"/>
        <v>19180</v>
      </c>
      <c r="O12" s="33">
        <f t="shared" si="1"/>
        <v>25125.8</v>
      </c>
    </row>
    <row r="13" ht="18.0" customHeight="1">
      <c r="A13" s="20" t="s">
        <v>32</v>
      </c>
      <c r="B13" s="21">
        <v>17850.0</v>
      </c>
      <c r="C13" s="22">
        <v>18800.0</v>
      </c>
      <c r="D13" s="23">
        <v>17900.0</v>
      </c>
      <c r="E13" s="24">
        <v>17850.0</v>
      </c>
      <c r="F13" s="25">
        <f>PRODUCT(E13,G2)</f>
        <v>18742.5</v>
      </c>
      <c r="G13" s="26"/>
      <c r="J13" s="37" t="s">
        <v>33</v>
      </c>
      <c r="K13" s="28">
        <v>2.095</v>
      </c>
      <c r="L13" s="28"/>
      <c r="M13" s="28"/>
      <c r="N13" s="30">
        <f t="shared" si="2"/>
        <v>17590</v>
      </c>
      <c r="O13" s="33">
        <f t="shared" si="1"/>
        <v>36851.05</v>
      </c>
    </row>
    <row r="14" ht="18.0" customHeight="1">
      <c r="A14" s="20" t="s">
        <v>34</v>
      </c>
      <c r="B14" s="21">
        <v>23650.0</v>
      </c>
      <c r="C14" s="22">
        <v>24830.0</v>
      </c>
      <c r="D14" s="23">
        <v>23830.0</v>
      </c>
      <c r="E14" s="24">
        <v>23650.0</v>
      </c>
      <c r="F14" s="25">
        <f>PRODUCT(E14,G2)</f>
        <v>24832.5</v>
      </c>
      <c r="G14" s="26"/>
      <c r="J14" s="37" t="s">
        <v>35</v>
      </c>
      <c r="K14" s="28">
        <v>11.61</v>
      </c>
      <c r="L14" s="28"/>
      <c r="M14" s="28"/>
      <c r="N14" s="30">
        <f>(D42/4)</f>
        <v>11400</v>
      </c>
      <c r="O14" s="33">
        <f t="shared" si="1"/>
        <v>132354</v>
      </c>
    </row>
    <row r="15" ht="18.0" customHeight="1">
      <c r="A15" s="20" t="s">
        <v>36</v>
      </c>
      <c r="B15" s="38">
        <v>24050.0</v>
      </c>
      <c r="C15" s="22">
        <v>25250.0</v>
      </c>
      <c r="D15" s="23">
        <v>24850.0</v>
      </c>
      <c r="E15" s="24">
        <v>24050.0</v>
      </c>
      <c r="F15" s="25">
        <f>PRODUCT(E15,G2)</f>
        <v>25252.5</v>
      </c>
      <c r="G15" s="26"/>
      <c r="I15" s="39"/>
      <c r="J15" s="34" t="s">
        <v>37</v>
      </c>
      <c r="K15" s="35"/>
      <c r="L15" s="35"/>
      <c r="M15" s="35"/>
      <c r="N15" s="35"/>
      <c r="O15" s="36">
        <f t="shared" si="1"/>
        <v>0</v>
      </c>
    </row>
    <row r="16" ht="18.0" customHeight="1">
      <c r="A16" s="20" t="s">
        <v>38</v>
      </c>
      <c r="B16" s="38">
        <v>24050.0</v>
      </c>
      <c r="C16" s="22">
        <v>25250.0</v>
      </c>
      <c r="D16" s="23">
        <v>24850.0</v>
      </c>
      <c r="E16" s="24">
        <v>24050.0</v>
      </c>
      <c r="F16" s="25">
        <f>PRODUCT(E16,G2)</f>
        <v>25252.5</v>
      </c>
      <c r="G16" s="26"/>
      <c r="J16" s="37" t="s">
        <v>39</v>
      </c>
      <c r="K16" s="28">
        <v>1.855</v>
      </c>
      <c r="L16" s="28"/>
      <c r="M16" s="28"/>
      <c r="N16" s="30">
        <f t="shared" ref="N16:N23" si="3">(D14)</f>
        <v>23830</v>
      </c>
      <c r="O16" s="33">
        <f t="shared" si="1"/>
        <v>44204.65</v>
      </c>
    </row>
    <row r="17" ht="18.0" customHeight="1">
      <c r="A17" s="20" t="s">
        <v>40</v>
      </c>
      <c r="B17" s="38">
        <v>20600.0</v>
      </c>
      <c r="C17" s="22">
        <v>21650.0</v>
      </c>
      <c r="D17" s="23">
        <v>20850.0</v>
      </c>
      <c r="E17" s="24">
        <v>20600.0</v>
      </c>
      <c r="F17" s="25">
        <f>PRODUCT(E17,G2)</f>
        <v>21630</v>
      </c>
      <c r="G17" s="26"/>
      <c r="J17" s="37" t="s">
        <v>41</v>
      </c>
      <c r="K17" s="28">
        <v>5.895</v>
      </c>
      <c r="L17" s="28"/>
      <c r="M17" s="28"/>
      <c r="N17" s="30">
        <f t="shared" si="3"/>
        <v>24850</v>
      </c>
      <c r="O17" s="33">
        <f t="shared" si="1"/>
        <v>146490.75</v>
      </c>
    </row>
    <row r="18" ht="18.0" customHeight="1">
      <c r="A18" s="20" t="s">
        <v>42</v>
      </c>
      <c r="B18" s="38">
        <v>21800.0</v>
      </c>
      <c r="C18" s="22">
        <v>22890.0</v>
      </c>
      <c r="D18" s="23">
        <v>22190.0</v>
      </c>
      <c r="E18" s="24">
        <v>21800.0</v>
      </c>
      <c r="F18" s="25">
        <f>PRODUCT(E18,G2)</f>
        <v>22890</v>
      </c>
      <c r="G18" s="26"/>
      <c r="J18" s="37" t="s">
        <v>43</v>
      </c>
      <c r="K18" s="28">
        <v>4.22</v>
      </c>
      <c r="L18" s="28"/>
      <c r="M18" s="28"/>
      <c r="N18" s="30">
        <f t="shared" si="3"/>
        <v>24850</v>
      </c>
      <c r="O18" s="33">
        <f t="shared" si="1"/>
        <v>104867</v>
      </c>
    </row>
    <row r="19" ht="18.0" customHeight="1">
      <c r="A19" s="20" t="s">
        <v>44</v>
      </c>
      <c r="B19" s="38">
        <v>18750.0</v>
      </c>
      <c r="C19" s="22">
        <v>19750.0</v>
      </c>
      <c r="D19" s="23">
        <v>19750.0</v>
      </c>
      <c r="E19" s="24">
        <v>18750.0</v>
      </c>
      <c r="F19" s="25">
        <f>PRODUCT(E19,G2)</f>
        <v>19687.5</v>
      </c>
      <c r="G19" s="26"/>
      <c r="J19" s="37" t="s">
        <v>45</v>
      </c>
      <c r="K19" s="28">
        <v>4.7</v>
      </c>
      <c r="L19" s="28"/>
      <c r="M19" s="28"/>
      <c r="N19" s="30">
        <f t="shared" si="3"/>
        <v>20850</v>
      </c>
      <c r="O19" s="33">
        <f t="shared" si="1"/>
        <v>97995</v>
      </c>
    </row>
    <row r="20" ht="18.0" customHeight="1">
      <c r="A20" s="20" t="s">
        <v>46</v>
      </c>
      <c r="B20" s="21">
        <v>18750.0</v>
      </c>
      <c r="C20" s="22">
        <v>19750.0</v>
      </c>
      <c r="D20" s="23">
        <v>19750.0</v>
      </c>
      <c r="E20" s="24">
        <v>18750.0</v>
      </c>
      <c r="F20" s="25">
        <f>PRODUCT(E20,G2)</f>
        <v>19687.5</v>
      </c>
      <c r="G20" s="26"/>
      <c r="J20" s="37" t="s">
        <v>47</v>
      </c>
      <c r="K20" s="28">
        <v>1.64</v>
      </c>
      <c r="L20" s="28"/>
      <c r="M20" s="28"/>
      <c r="N20" s="30">
        <f t="shared" si="3"/>
        <v>22190</v>
      </c>
      <c r="O20" s="33">
        <f t="shared" si="1"/>
        <v>36391.6</v>
      </c>
    </row>
    <row r="21" ht="18.0" customHeight="1">
      <c r="A21" s="20" t="s">
        <v>48</v>
      </c>
      <c r="B21" s="21">
        <v>17590.0</v>
      </c>
      <c r="C21" s="22">
        <v>18470.0</v>
      </c>
      <c r="D21" s="23">
        <v>18950.0</v>
      </c>
      <c r="E21" s="24">
        <v>17590.0</v>
      </c>
      <c r="F21" s="25">
        <f>PRODUCT(E21,G2)</f>
        <v>18469.5</v>
      </c>
      <c r="G21" s="26"/>
      <c r="J21" s="37" t="s">
        <v>49</v>
      </c>
      <c r="K21" s="28">
        <v>4.15</v>
      </c>
      <c r="L21" s="28"/>
      <c r="M21" s="28"/>
      <c r="N21" s="30">
        <f t="shared" si="3"/>
        <v>19750</v>
      </c>
      <c r="O21" s="33">
        <f t="shared" si="1"/>
        <v>81962.5</v>
      </c>
    </row>
    <row r="22" ht="18.0" customHeight="1">
      <c r="A22" s="20" t="s">
        <v>50</v>
      </c>
      <c r="B22" s="21">
        <v>14650.0</v>
      </c>
      <c r="C22" s="22">
        <v>15380.0</v>
      </c>
      <c r="D22" s="23">
        <v>15380.0</v>
      </c>
      <c r="E22" s="24">
        <v>14650.0</v>
      </c>
      <c r="F22" s="25">
        <f>PRODUCT(E22,G2)</f>
        <v>15382.5</v>
      </c>
      <c r="G22" s="26"/>
      <c r="J22" s="37" t="s">
        <v>51</v>
      </c>
      <c r="K22" s="28">
        <v>3.315</v>
      </c>
      <c r="L22" s="28"/>
      <c r="M22" s="28"/>
      <c r="N22" s="30">
        <f t="shared" si="3"/>
        <v>19750</v>
      </c>
      <c r="O22" s="33">
        <f t="shared" si="1"/>
        <v>65471.25</v>
      </c>
    </row>
    <row r="23" ht="18.0" customHeight="1">
      <c r="A23" s="20" t="s">
        <v>52</v>
      </c>
      <c r="B23" s="38">
        <v>14650.0</v>
      </c>
      <c r="C23" s="22">
        <v>15380.0</v>
      </c>
      <c r="D23" s="23">
        <v>15380.0</v>
      </c>
      <c r="E23" s="24">
        <v>14650.0</v>
      </c>
      <c r="F23" s="25">
        <f>PRODUCT(E23,G2)</f>
        <v>15382.5</v>
      </c>
      <c r="G23" s="26"/>
      <c r="J23" s="37" t="s">
        <v>53</v>
      </c>
      <c r="K23" s="28">
        <v>3.135</v>
      </c>
      <c r="L23" s="28"/>
      <c r="M23" s="28"/>
      <c r="N23" s="30">
        <f t="shared" si="3"/>
        <v>18950</v>
      </c>
      <c r="O23" s="33">
        <f t="shared" si="1"/>
        <v>59408.25</v>
      </c>
    </row>
    <row r="24" ht="18.0" customHeight="1">
      <c r="A24" s="20" t="s">
        <v>54</v>
      </c>
      <c r="B24" s="38">
        <v>12050.0</v>
      </c>
      <c r="C24" s="22">
        <v>12650.0</v>
      </c>
      <c r="D24" s="23">
        <v>11950.0</v>
      </c>
      <c r="E24" s="24">
        <v>12050.0</v>
      </c>
      <c r="F24" s="25">
        <f>PRODUCT(E24,G2)</f>
        <v>12652.5</v>
      </c>
      <c r="G24" s="26"/>
      <c r="J24" s="34" t="s">
        <v>55</v>
      </c>
      <c r="K24" s="35"/>
      <c r="L24" s="35"/>
      <c r="M24" s="35"/>
      <c r="N24" s="35"/>
      <c r="O24" s="36">
        <f t="shared" si="1"/>
        <v>0</v>
      </c>
    </row>
    <row r="25" ht="18.0" customHeight="1">
      <c r="A25" s="20" t="s">
        <v>56</v>
      </c>
      <c r="B25" s="38">
        <v>9800.0</v>
      </c>
      <c r="C25" s="22">
        <v>10290.0</v>
      </c>
      <c r="D25" s="23">
        <v>10400.0</v>
      </c>
      <c r="E25" s="24">
        <v>9800.0</v>
      </c>
      <c r="F25" s="25">
        <f>PRODUCT(E25,G2)</f>
        <v>10290</v>
      </c>
      <c r="G25" s="26"/>
      <c r="J25" s="37" t="s">
        <v>57</v>
      </c>
      <c r="K25" s="28">
        <v>3.77</v>
      </c>
      <c r="L25" s="28"/>
      <c r="M25" s="28"/>
      <c r="N25" s="30">
        <f t="shared" ref="N25:N26" si="4">(D22)</f>
        <v>15380</v>
      </c>
      <c r="O25" s="33">
        <f t="shared" si="1"/>
        <v>57982.6</v>
      </c>
    </row>
    <row r="26" ht="18.0" customHeight="1">
      <c r="A26" s="20" t="s">
        <v>58</v>
      </c>
      <c r="B26" s="38">
        <v>9800.0</v>
      </c>
      <c r="C26" s="22">
        <v>10290.0</v>
      </c>
      <c r="D26" s="23">
        <v>10400.0</v>
      </c>
      <c r="E26" s="24">
        <v>9800.0</v>
      </c>
      <c r="F26" s="25">
        <f>PRODUCT(E26,G2)</f>
        <v>10290</v>
      </c>
      <c r="G26" s="26"/>
      <c r="J26" s="37" t="s">
        <v>59</v>
      </c>
      <c r="K26" s="28">
        <v>1.48</v>
      </c>
      <c r="L26" s="28"/>
      <c r="M26" s="28"/>
      <c r="N26" s="30">
        <f t="shared" si="4"/>
        <v>15380</v>
      </c>
      <c r="O26" s="33">
        <f t="shared" si="1"/>
        <v>22762.4</v>
      </c>
    </row>
    <row r="27" ht="18.0" customHeight="1">
      <c r="A27" s="20" t="s">
        <v>60</v>
      </c>
      <c r="B27" s="38">
        <v>9500.0</v>
      </c>
      <c r="C27" s="22">
        <v>9975.0</v>
      </c>
      <c r="D27" s="23">
        <v>9975.0</v>
      </c>
      <c r="E27" s="24">
        <v>9500.0</v>
      </c>
      <c r="F27" s="25">
        <f>PRODUCT(E27,G2)</f>
        <v>9975</v>
      </c>
      <c r="G27" s="26"/>
      <c r="J27" s="37" t="s">
        <v>61</v>
      </c>
      <c r="K27" s="28"/>
      <c r="L27" s="28"/>
      <c r="M27" s="28"/>
      <c r="N27" s="30"/>
      <c r="O27" s="33">
        <f t="shared" si="1"/>
        <v>0</v>
      </c>
    </row>
    <row r="28" ht="18.0" customHeight="1">
      <c r="A28" s="20" t="s">
        <v>62</v>
      </c>
      <c r="B28" s="38">
        <v>2400.0</v>
      </c>
      <c r="C28" s="22">
        <v>2500.0</v>
      </c>
      <c r="D28" s="23">
        <v>3000.0</v>
      </c>
      <c r="E28" s="24">
        <v>2400.0</v>
      </c>
      <c r="F28" s="25">
        <f>PRODUCT(E28,G2)</f>
        <v>2520</v>
      </c>
      <c r="G28" s="26"/>
      <c r="J28" s="34" t="s">
        <v>63</v>
      </c>
      <c r="K28" s="35"/>
      <c r="L28" s="35"/>
      <c r="M28" s="35"/>
      <c r="N28" s="35"/>
      <c r="O28" s="36">
        <f t="shared" si="1"/>
        <v>0</v>
      </c>
    </row>
    <row r="29" ht="18.0" customHeight="1">
      <c r="A29" s="20" t="s">
        <v>64</v>
      </c>
      <c r="B29" s="38">
        <v>4300.0</v>
      </c>
      <c r="C29" s="22">
        <v>4500.0</v>
      </c>
      <c r="D29" s="23">
        <v>7500.0</v>
      </c>
      <c r="E29" s="24">
        <v>4300.0</v>
      </c>
      <c r="F29" s="25">
        <f>PRODUCT(E29,G2)</f>
        <v>4515</v>
      </c>
      <c r="G29" s="26"/>
      <c r="J29" s="37" t="s">
        <v>65</v>
      </c>
      <c r="K29" s="28">
        <v>3.545</v>
      </c>
      <c r="L29" s="28"/>
      <c r="M29" s="28"/>
      <c r="N29" s="30">
        <f>(D25)</f>
        <v>10400</v>
      </c>
      <c r="O29" s="33">
        <f t="shared" si="1"/>
        <v>36868</v>
      </c>
    </row>
    <row r="30" ht="18.0" customHeight="1">
      <c r="A30" s="20" t="s">
        <v>66</v>
      </c>
      <c r="B30" s="38">
        <v>11900.0</v>
      </c>
      <c r="C30" s="22">
        <v>12490.0</v>
      </c>
      <c r="D30" s="23">
        <v>12490.0</v>
      </c>
      <c r="E30" s="24">
        <v>11900.0</v>
      </c>
      <c r="F30" s="25">
        <f>PRODUCT(E30,G2)</f>
        <v>12495</v>
      </c>
      <c r="G30" s="26"/>
      <c r="J30" s="40" t="s">
        <v>67</v>
      </c>
      <c r="K30" s="41">
        <v>12.44</v>
      </c>
      <c r="L30" s="41"/>
      <c r="M30" s="41"/>
      <c r="N30" s="42">
        <f>(D29/3)</f>
        <v>2500</v>
      </c>
      <c r="O30" s="43">
        <f t="shared" si="1"/>
        <v>31100</v>
      </c>
    </row>
    <row r="31" ht="18.0" customHeight="1">
      <c r="A31" s="20" t="s">
        <v>68</v>
      </c>
      <c r="B31" s="38">
        <v>11100.0</v>
      </c>
      <c r="C31" s="22">
        <v>11650.0</v>
      </c>
      <c r="D31" s="23">
        <v>11850.0</v>
      </c>
      <c r="E31" s="24">
        <v>11100.0</v>
      </c>
      <c r="F31" s="25">
        <f>PRODUCT(E31,G2)</f>
        <v>11655</v>
      </c>
      <c r="G31" s="26"/>
      <c r="J31" s="40" t="s">
        <v>69</v>
      </c>
      <c r="K31" s="41">
        <v>9.395</v>
      </c>
      <c r="L31" s="41"/>
      <c r="M31" s="41"/>
      <c r="N31" s="41">
        <v>1.0</v>
      </c>
      <c r="O31" s="43">
        <f t="shared" si="1"/>
        <v>9.395</v>
      </c>
    </row>
    <row r="32" ht="18.0" customHeight="1">
      <c r="A32" s="20" t="s">
        <v>70</v>
      </c>
      <c r="B32" s="38">
        <v>11300.0</v>
      </c>
      <c r="C32" s="22">
        <v>11850.0</v>
      </c>
      <c r="D32" s="23">
        <v>11950.0</v>
      </c>
      <c r="E32" s="24">
        <v>11300.0</v>
      </c>
      <c r="F32" s="25">
        <f>PRODUCT(E32,G2)</f>
        <v>11865</v>
      </c>
      <c r="G32" s="26"/>
      <c r="J32" s="40" t="s">
        <v>71</v>
      </c>
      <c r="K32" s="41">
        <v>11.87</v>
      </c>
      <c r="L32" s="41"/>
      <c r="M32" s="41"/>
      <c r="N32" s="42">
        <v>1.0</v>
      </c>
      <c r="O32" s="43">
        <f t="shared" si="1"/>
        <v>11.87</v>
      </c>
    </row>
    <row r="33" ht="18.0" customHeight="1">
      <c r="A33" s="20" t="s">
        <v>72</v>
      </c>
      <c r="B33" s="38">
        <v>11900.0</v>
      </c>
      <c r="C33" s="22">
        <v>12450.0</v>
      </c>
      <c r="D33" s="23">
        <v>12450.0</v>
      </c>
      <c r="E33" s="24">
        <v>11900.0</v>
      </c>
      <c r="F33" s="25">
        <f>PRODUCT(E33,G2)</f>
        <v>12495</v>
      </c>
      <c r="G33" s="26"/>
      <c r="J33" s="32" t="s">
        <v>73</v>
      </c>
      <c r="K33" s="28">
        <v>5.73</v>
      </c>
      <c r="L33" s="28"/>
      <c r="M33" s="28"/>
      <c r="N33" s="30">
        <f>(D31)</f>
        <v>11850</v>
      </c>
      <c r="O33" s="33">
        <f t="shared" si="1"/>
        <v>67900.5</v>
      </c>
    </row>
    <row r="34" ht="18.0" customHeight="1">
      <c r="A34" s="20" t="s">
        <v>74</v>
      </c>
      <c r="B34" s="38">
        <v>17200.0</v>
      </c>
      <c r="C34" s="22">
        <v>18000.0</v>
      </c>
      <c r="D34" s="23">
        <v>18500.0</v>
      </c>
      <c r="E34" s="24">
        <v>17200.0</v>
      </c>
      <c r="F34" s="25">
        <f>PRODUCT(E34,G2)</f>
        <v>18060</v>
      </c>
      <c r="G34" s="26"/>
      <c r="J34" s="32"/>
      <c r="K34" s="28"/>
      <c r="L34" s="28"/>
      <c r="M34" s="28"/>
      <c r="N34" s="28"/>
      <c r="O34" s="33"/>
    </row>
    <row r="35" ht="18.0" customHeight="1">
      <c r="A35" s="20" t="s">
        <v>75</v>
      </c>
      <c r="B35" s="21">
        <v>18900.0</v>
      </c>
      <c r="C35" s="22">
        <v>19850.0</v>
      </c>
      <c r="D35" s="23">
        <v>19850.0</v>
      </c>
      <c r="E35" s="24">
        <v>18900.0</v>
      </c>
      <c r="F35" s="25">
        <f>PRODUCT(E35,G2)</f>
        <v>19845</v>
      </c>
      <c r="G35" s="26"/>
      <c r="J35" s="44" t="s">
        <v>76</v>
      </c>
      <c r="K35" s="45">
        <f>SUM(K7:K34)</f>
        <v>108.795</v>
      </c>
      <c r="L35" s="45"/>
      <c r="M35" s="45"/>
      <c r="N35" s="46">
        <f>(-O35*100)/O4</f>
        <v>20.81971717</v>
      </c>
      <c r="O35" s="47">
        <f>SUM(O4:O34)</f>
        <v>240342.815</v>
      </c>
    </row>
    <row r="36" ht="18.0" customHeight="1">
      <c r="A36" s="48" t="s">
        <v>77</v>
      </c>
      <c r="B36" s="49">
        <v>990.0</v>
      </c>
      <c r="C36" s="50">
        <v>1100.0</v>
      </c>
      <c r="D36" s="51">
        <v>1400.0</v>
      </c>
      <c r="E36" s="52">
        <v>990.0</v>
      </c>
      <c r="F36" s="53">
        <f>PRODUCT(E36,G2)</f>
        <v>1039.5</v>
      </c>
      <c r="G36" s="26"/>
    </row>
    <row r="37" ht="18.0" customHeight="1">
      <c r="D37" s="54"/>
      <c r="E37" s="55"/>
    </row>
    <row r="38" ht="18.0" customHeight="1">
      <c r="A38" s="9" t="s">
        <v>1</v>
      </c>
      <c r="B38" s="5"/>
      <c r="C38" s="5"/>
      <c r="D38" s="5"/>
      <c r="E38" s="6"/>
      <c r="F38" s="56" t="s">
        <v>2</v>
      </c>
      <c r="G38" s="57">
        <v>1.05</v>
      </c>
    </row>
    <row r="39" ht="18.0" customHeight="1">
      <c r="A39" s="58" t="s">
        <v>78</v>
      </c>
      <c r="B39" s="59" t="s">
        <v>5</v>
      </c>
      <c r="C39" s="60" t="s">
        <v>79</v>
      </c>
      <c r="D39" s="13" t="s">
        <v>7</v>
      </c>
      <c r="E39" s="14" t="s">
        <v>8</v>
      </c>
      <c r="F39" s="15" t="s">
        <v>9</v>
      </c>
      <c r="G39" s="16"/>
    </row>
    <row r="40" ht="18.0" customHeight="1">
      <c r="A40" s="61" t="s">
        <v>80</v>
      </c>
      <c r="B40" s="62">
        <v>38000.0</v>
      </c>
      <c r="C40" s="62">
        <v>39900.0</v>
      </c>
      <c r="D40" s="62">
        <v>41900.0</v>
      </c>
      <c r="E40" s="62">
        <v>39900.0</v>
      </c>
      <c r="F40" s="25">
        <f>PRODUCT(E40,G38)</f>
        <v>41895</v>
      </c>
      <c r="G40" s="26"/>
    </row>
    <row r="41" ht="18.0" customHeight="1">
      <c r="A41" s="20" t="s">
        <v>81</v>
      </c>
      <c r="B41" s="63">
        <v>33600.0</v>
      </c>
      <c r="C41" s="63">
        <v>35300.0</v>
      </c>
      <c r="D41" s="63">
        <v>37300.0</v>
      </c>
      <c r="E41" s="63">
        <v>35300.0</v>
      </c>
      <c r="F41" s="25">
        <f>PRODUCT(E41,G38)</f>
        <v>37065</v>
      </c>
      <c r="G41" s="26"/>
    </row>
    <row r="42" ht="18.0" customHeight="1">
      <c r="A42" s="20" t="s">
        <v>82</v>
      </c>
      <c r="B42" s="63">
        <v>41500.0</v>
      </c>
      <c r="C42" s="63">
        <v>43600.0</v>
      </c>
      <c r="D42" s="63">
        <v>45600.0</v>
      </c>
      <c r="E42" s="63">
        <v>43600.0</v>
      </c>
      <c r="F42" s="25">
        <f>PRODUCT(E42,G38)</f>
        <v>45780</v>
      </c>
      <c r="G42" s="26"/>
    </row>
    <row r="43" ht="18.0" customHeight="1">
      <c r="A43" s="20" t="s">
        <v>83</v>
      </c>
      <c r="B43" s="63">
        <v>38000.0</v>
      </c>
      <c r="C43" s="63">
        <v>39900.0</v>
      </c>
      <c r="D43" s="63">
        <v>41900.0</v>
      </c>
      <c r="E43" s="63">
        <v>39900.0</v>
      </c>
      <c r="F43" s="25">
        <f>PRODUCT(E43,G38)</f>
        <v>41895</v>
      </c>
      <c r="G43" s="26"/>
    </row>
    <row r="44" ht="18.0" customHeight="1">
      <c r="A44" s="48" t="s">
        <v>84</v>
      </c>
      <c r="B44" s="64">
        <v>47300.0</v>
      </c>
      <c r="C44" s="64">
        <v>49700.0</v>
      </c>
      <c r="D44" s="64">
        <v>52000.0</v>
      </c>
      <c r="E44" s="64">
        <v>49700.0</v>
      </c>
      <c r="F44" s="53">
        <f>PRODUCT(E44,G38)</f>
        <v>52185</v>
      </c>
      <c r="G44" s="26"/>
    </row>
    <row r="45" ht="18.0" customHeight="1">
      <c r="A45" s="65"/>
      <c r="B45" s="66"/>
      <c r="C45" s="66"/>
      <c r="D45" s="67" t="s">
        <v>85</v>
      </c>
      <c r="E45" s="68"/>
    </row>
    <row r="46" ht="18.0" customHeight="1">
      <c r="A46" s="1" t="s">
        <v>86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</row>
    <row r="47" ht="18.0" customHeight="1">
      <c r="A47" s="9" t="s">
        <v>1</v>
      </c>
      <c r="B47" s="5"/>
      <c r="C47" s="5"/>
      <c r="D47" s="5"/>
      <c r="E47" s="6"/>
      <c r="F47" s="69" t="s">
        <v>2</v>
      </c>
      <c r="G47" s="57">
        <v>1.05</v>
      </c>
      <c r="J47" s="9" t="s">
        <v>87</v>
      </c>
      <c r="K47" s="5"/>
      <c r="L47" s="5"/>
      <c r="M47" s="5"/>
      <c r="N47" s="5"/>
      <c r="O47" s="6"/>
    </row>
    <row r="48" ht="18.0" customHeight="1">
      <c r="A48" s="58" t="s">
        <v>88</v>
      </c>
      <c r="B48" s="70" t="s">
        <v>5</v>
      </c>
      <c r="C48" s="71" t="s">
        <v>79</v>
      </c>
      <c r="D48" s="13" t="s">
        <v>7</v>
      </c>
      <c r="E48" s="72" t="s">
        <v>8</v>
      </c>
      <c r="F48" s="73" t="s">
        <v>9</v>
      </c>
      <c r="G48" s="16"/>
      <c r="J48" s="74">
        <v>45317.0</v>
      </c>
      <c r="K48" s="75" t="s">
        <v>11</v>
      </c>
      <c r="L48" s="75"/>
      <c r="M48" s="75"/>
      <c r="N48" s="75" t="s">
        <v>12</v>
      </c>
      <c r="O48" s="76" t="s">
        <v>13</v>
      </c>
    </row>
    <row r="49" ht="18.0" customHeight="1">
      <c r="A49" s="61" t="s">
        <v>89</v>
      </c>
      <c r="B49" s="77">
        <v>8900.0</v>
      </c>
      <c r="C49" s="62">
        <v>9100.0</v>
      </c>
      <c r="D49" s="62">
        <v>9550.0</v>
      </c>
      <c r="E49" s="78">
        <v>9100.0</v>
      </c>
      <c r="F49" s="79">
        <f>PRODUCT(E49,G47)</f>
        <v>9555</v>
      </c>
      <c r="G49" s="26"/>
      <c r="J49" s="80" t="s">
        <v>90</v>
      </c>
      <c r="K49" s="28">
        <v>44.0</v>
      </c>
      <c r="L49" s="29">
        <v>-1.0</v>
      </c>
      <c r="M49" s="29"/>
      <c r="N49" s="81">
        <v>4000.0</v>
      </c>
      <c r="O49" s="82">
        <f t="shared" ref="O49:O59" si="5">PRODUCT(K49:N49)</f>
        <v>-176000</v>
      </c>
    </row>
    <row r="50" ht="18.0" customHeight="1">
      <c r="A50" s="20" t="s">
        <v>91</v>
      </c>
      <c r="B50" s="83">
        <v>8900.0</v>
      </c>
      <c r="C50" s="63">
        <v>9100.0</v>
      </c>
      <c r="D50" s="63">
        <v>9550.0</v>
      </c>
      <c r="E50" s="84">
        <v>9100.0</v>
      </c>
      <c r="F50" s="85">
        <f>PRODUCT(E50,G47)</f>
        <v>9555</v>
      </c>
      <c r="G50" s="26"/>
      <c r="J50" s="80" t="s">
        <v>92</v>
      </c>
      <c r="K50" s="28">
        <v>6.49</v>
      </c>
      <c r="L50" s="28"/>
      <c r="M50" s="28"/>
      <c r="N50" s="81">
        <f t="shared" ref="N50:N55" si="6">(D50)</f>
        <v>9550</v>
      </c>
      <c r="O50" s="33">
        <f t="shared" si="5"/>
        <v>61979.5</v>
      </c>
    </row>
    <row r="51" ht="18.0" customHeight="1">
      <c r="A51" s="20" t="s">
        <v>93</v>
      </c>
      <c r="B51" s="83">
        <v>18400.0</v>
      </c>
      <c r="C51" s="63">
        <v>18900.0</v>
      </c>
      <c r="D51" s="63">
        <v>19900.0</v>
      </c>
      <c r="E51" s="84">
        <v>18900.0</v>
      </c>
      <c r="F51" s="85">
        <f>PRODUCT(E51,G47)</f>
        <v>19845</v>
      </c>
      <c r="G51" s="26"/>
      <c r="J51" s="80" t="s">
        <v>18</v>
      </c>
      <c r="K51" s="28">
        <v>1.0</v>
      </c>
      <c r="L51" s="28"/>
      <c r="M51" s="28"/>
      <c r="N51" s="81">
        <f t="shared" si="6"/>
        <v>19900</v>
      </c>
      <c r="O51" s="33">
        <f t="shared" si="5"/>
        <v>19900</v>
      </c>
    </row>
    <row r="52" ht="18.0" customHeight="1">
      <c r="A52" s="20" t="s">
        <v>94</v>
      </c>
      <c r="B52" s="83">
        <v>9200.0</v>
      </c>
      <c r="C52" s="63">
        <v>9500.0</v>
      </c>
      <c r="D52" s="63">
        <v>9975.0</v>
      </c>
      <c r="E52" s="84">
        <v>9500.0</v>
      </c>
      <c r="F52" s="85">
        <f>PRODUCT(E52,G47)</f>
        <v>9975</v>
      </c>
      <c r="G52" s="26"/>
      <c r="J52" s="80" t="s">
        <v>94</v>
      </c>
      <c r="K52" s="28">
        <v>1.83</v>
      </c>
      <c r="L52" s="28"/>
      <c r="M52" s="28"/>
      <c r="N52" s="81">
        <f t="shared" si="6"/>
        <v>9975</v>
      </c>
      <c r="O52" s="33">
        <f t="shared" si="5"/>
        <v>18254.25</v>
      </c>
    </row>
    <row r="53" ht="18.0" customHeight="1">
      <c r="A53" s="20" t="s">
        <v>95</v>
      </c>
      <c r="B53" s="83">
        <v>8400.0</v>
      </c>
      <c r="C53" s="63">
        <v>8800.0</v>
      </c>
      <c r="D53" s="63">
        <v>9250.0</v>
      </c>
      <c r="E53" s="84">
        <v>8800.0</v>
      </c>
      <c r="F53" s="85">
        <f>PRODUCT(E53,G47)</f>
        <v>9240</v>
      </c>
      <c r="G53" s="26"/>
      <c r="J53" s="80" t="s">
        <v>32</v>
      </c>
      <c r="K53" s="28">
        <v>4.79</v>
      </c>
      <c r="L53" s="28"/>
      <c r="M53" s="28"/>
      <c r="N53" s="81">
        <f t="shared" si="6"/>
        <v>9250</v>
      </c>
      <c r="O53" s="33">
        <f t="shared" si="5"/>
        <v>44307.5</v>
      </c>
    </row>
    <row r="54" ht="18.0" customHeight="1">
      <c r="A54" s="20" t="s">
        <v>96</v>
      </c>
      <c r="B54" s="83">
        <v>5700.0</v>
      </c>
      <c r="C54" s="63">
        <v>5700.0</v>
      </c>
      <c r="D54" s="63">
        <v>5900.0</v>
      </c>
      <c r="E54" s="84">
        <v>5700.0</v>
      </c>
      <c r="F54" s="85">
        <f>PRODUCT(E54,G47)</f>
        <v>5985</v>
      </c>
      <c r="G54" s="26"/>
      <c r="J54" s="80" t="s">
        <v>96</v>
      </c>
      <c r="K54" s="28">
        <v>11.34</v>
      </c>
      <c r="L54" s="28"/>
      <c r="M54" s="28"/>
      <c r="N54" s="81">
        <f t="shared" si="6"/>
        <v>5900</v>
      </c>
      <c r="O54" s="33">
        <f t="shared" si="5"/>
        <v>66906</v>
      </c>
    </row>
    <row r="55" ht="18.0" customHeight="1">
      <c r="A55" s="20" t="s">
        <v>97</v>
      </c>
      <c r="B55" s="83">
        <v>5200.0</v>
      </c>
      <c r="C55" s="63">
        <v>5200.0</v>
      </c>
      <c r="D55" s="63">
        <v>5450.0</v>
      </c>
      <c r="E55" s="84">
        <v>5200.0</v>
      </c>
      <c r="F55" s="85">
        <f>PRODUCT(E55,G47)</f>
        <v>5460</v>
      </c>
      <c r="G55" s="26"/>
      <c r="J55" s="80" t="s">
        <v>48</v>
      </c>
      <c r="K55" s="28">
        <v>5.34</v>
      </c>
      <c r="L55" s="28"/>
      <c r="M55" s="28"/>
      <c r="N55" s="81">
        <f t="shared" si="6"/>
        <v>5450</v>
      </c>
      <c r="O55" s="33">
        <f t="shared" si="5"/>
        <v>29103</v>
      </c>
    </row>
    <row r="56" ht="18.0" customHeight="1">
      <c r="A56" s="20" t="s">
        <v>98</v>
      </c>
      <c r="B56" s="83">
        <v>9000.0</v>
      </c>
      <c r="C56" s="63">
        <v>9700.0</v>
      </c>
      <c r="D56" s="63">
        <v>10180.0</v>
      </c>
      <c r="E56" s="84">
        <v>9700.0</v>
      </c>
      <c r="F56" s="85">
        <f>PRODUCT(E56,G47)</f>
        <v>10185</v>
      </c>
      <c r="G56" s="26"/>
      <c r="J56" s="80" t="s">
        <v>99</v>
      </c>
      <c r="K56" s="28">
        <v>5.06</v>
      </c>
      <c r="L56" s="28"/>
      <c r="M56" s="28"/>
      <c r="N56" s="81">
        <v>0.0</v>
      </c>
      <c r="O56" s="33">
        <f t="shared" si="5"/>
        <v>0</v>
      </c>
    </row>
    <row r="57" ht="18.0" customHeight="1">
      <c r="A57" s="20" t="s">
        <v>100</v>
      </c>
      <c r="B57" s="83">
        <v>8900.0</v>
      </c>
      <c r="C57" s="63">
        <v>8900.0</v>
      </c>
      <c r="D57" s="63">
        <v>9340.0</v>
      </c>
      <c r="E57" s="84">
        <v>8900.0</v>
      </c>
      <c r="F57" s="85">
        <f>PRODUCT(E57,G47)</f>
        <v>9345</v>
      </c>
      <c r="G57" s="26"/>
      <c r="J57" s="80" t="s">
        <v>77</v>
      </c>
      <c r="K57" s="28">
        <v>3.8</v>
      </c>
      <c r="L57" s="28"/>
      <c r="M57" s="28"/>
      <c r="N57" s="81">
        <v>0.0</v>
      </c>
      <c r="O57" s="33">
        <f t="shared" si="5"/>
        <v>0</v>
      </c>
    </row>
    <row r="58" ht="18.0" customHeight="1">
      <c r="A58" s="86" t="s">
        <v>101</v>
      </c>
      <c r="B58" s="87"/>
      <c r="C58" s="88"/>
      <c r="D58" s="89"/>
      <c r="E58" s="90">
        <v>4890.0</v>
      </c>
      <c r="F58" s="91">
        <f>PRODUCT(E58,G47)</f>
        <v>5134.5</v>
      </c>
      <c r="G58" s="26"/>
      <c r="J58" s="80" t="s">
        <v>102</v>
      </c>
      <c r="K58" s="28">
        <v>1.7</v>
      </c>
      <c r="L58" s="28"/>
      <c r="M58" s="28"/>
      <c r="N58" s="81">
        <v>0.0</v>
      </c>
      <c r="O58" s="33">
        <f t="shared" si="5"/>
        <v>0</v>
      </c>
    </row>
    <row r="59" ht="18.0" customHeight="1">
      <c r="A59" s="20"/>
      <c r="B59" s="92"/>
      <c r="C59" s="93"/>
      <c r="D59" s="94"/>
      <c r="E59" s="84"/>
      <c r="F59" s="95"/>
      <c r="J59" s="96" t="s">
        <v>103</v>
      </c>
      <c r="K59" s="97">
        <v>1.46</v>
      </c>
      <c r="L59" s="97"/>
      <c r="M59" s="97"/>
      <c r="N59" s="81">
        <v>0.0</v>
      </c>
      <c r="O59" s="98">
        <f t="shared" si="5"/>
        <v>0</v>
      </c>
    </row>
    <row r="60" ht="18.0" customHeight="1">
      <c r="A60" s="99"/>
      <c r="B60" s="100"/>
      <c r="C60" s="100"/>
      <c r="D60" s="101"/>
      <c r="E60" s="102"/>
      <c r="F60" s="95"/>
      <c r="J60" s="103" t="s">
        <v>76</v>
      </c>
      <c r="K60" s="104">
        <f>SUM(K50:K59)</f>
        <v>42.81</v>
      </c>
      <c r="L60" s="104"/>
      <c r="M60" s="104">
        <v>20.0</v>
      </c>
      <c r="N60" s="46">
        <f>(O60*100)/-O49</f>
        <v>36.61946023</v>
      </c>
      <c r="O60" s="47">
        <f>SUM(O49:O59)</f>
        <v>64450.25</v>
      </c>
    </row>
    <row r="61" ht="18.0" customHeight="1">
      <c r="A61" s="105"/>
      <c r="B61" s="106"/>
      <c r="C61" s="106"/>
      <c r="D61" s="107"/>
      <c r="E61" s="108"/>
      <c r="F61" s="95"/>
      <c r="J61" s="28"/>
      <c r="K61" s="28"/>
      <c r="L61" s="28"/>
      <c r="M61" s="28"/>
      <c r="N61" s="109"/>
      <c r="O61" s="110"/>
    </row>
    <row r="62" ht="18.0" customHeight="1">
      <c r="A62" s="1" t="s">
        <v>104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</row>
    <row r="63" ht="18.0" customHeight="1">
      <c r="A63" s="9" t="s">
        <v>1</v>
      </c>
      <c r="B63" s="5"/>
      <c r="C63" s="5"/>
      <c r="D63" s="5"/>
      <c r="E63" s="6"/>
      <c r="F63" s="111" t="s">
        <v>2</v>
      </c>
      <c r="G63" s="57">
        <v>1.07</v>
      </c>
      <c r="J63" s="9" t="s">
        <v>105</v>
      </c>
      <c r="K63" s="5"/>
      <c r="L63" s="5"/>
      <c r="M63" s="5"/>
      <c r="N63" s="5"/>
      <c r="O63" s="6"/>
    </row>
    <row r="64" ht="18.0" customHeight="1">
      <c r="A64" s="58" t="s">
        <v>106</v>
      </c>
      <c r="B64" s="112" t="s">
        <v>5</v>
      </c>
      <c r="C64" s="112" t="s">
        <v>79</v>
      </c>
      <c r="D64" s="13" t="s">
        <v>7</v>
      </c>
      <c r="E64" s="14" t="s">
        <v>8</v>
      </c>
      <c r="F64" s="15" t="s">
        <v>9</v>
      </c>
      <c r="G64" s="16"/>
      <c r="J64" s="113"/>
      <c r="K64" s="114" t="s">
        <v>11</v>
      </c>
      <c r="L64" s="114"/>
      <c r="M64" s="114"/>
      <c r="N64" s="114" t="s">
        <v>12</v>
      </c>
      <c r="O64" s="115" t="s">
        <v>13</v>
      </c>
    </row>
    <row r="65" ht="18.0" customHeight="1">
      <c r="A65" s="61" t="s">
        <v>107</v>
      </c>
      <c r="B65" s="62">
        <v>4690.0</v>
      </c>
      <c r="C65" s="62">
        <v>4975.0</v>
      </c>
      <c r="D65" s="62">
        <v>5350.0</v>
      </c>
      <c r="E65" s="116">
        <v>4975.0</v>
      </c>
      <c r="F65" s="117">
        <f>PRODUCT(E65,G63)</f>
        <v>5323.25</v>
      </c>
      <c r="G65" s="26"/>
      <c r="J65" s="118" t="s">
        <v>108</v>
      </c>
      <c r="K65" s="41">
        <v>20.0</v>
      </c>
      <c r="L65" s="119">
        <v>-1.0</v>
      </c>
      <c r="M65" s="119"/>
      <c r="N65" s="120">
        <v>4000.0</v>
      </c>
      <c r="O65" s="121">
        <f t="shared" ref="O65:O70" si="7">PRODUCT(K65:N65)</f>
        <v>-80000</v>
      </c>
    </row>
    <row r="66" ht="18.0" customHeight="1">
      <c r="A66" s="20" t="s">
        <v>109</v>
      </c>
      <c r="B66" s="63">
        <v>5980.0</v>
      </c>
      <c r="C66" s="63">
        <v>6400.0</v>
      </c>
      <c r="D66" s="63">
        <v>6850.0</v>
      </c>
      <c r="E66" s="122">
        <v>6400.0</v>
      </c>
      <c r="F66" s="25">
        <f>PRODUCT(E66,G63)</f>
        <v>6848</v>
      </c>
      <c r="G66" s="26"/>
      <c r="J66" s="80" t="s">
        <v>110</v>
      </c>
      <c r="K66" s="28">
        <v>4.89</v>
      </c>
      <c r="L66" s="28"/>
      <c r="M66" s="28"/>
      <c r="N66" s="81">
        <f>(D68)</f>
        <v>10850</v>
      </c>
      <c r="O66" s="33">
        <f t="shared" si="7"/>
        <v>53056.5</v>
      </c>
    </row>
    <row r="67" ht="18.0" customHeight="1">
      <c r="A67" s="20" t="s">
        <v>111</v>
      </c>
      <c r="B67" s="63">
        <v>9650.0</v>
      </c>
      <c r="C67" s="63">
        <v>9980.0</v>
      </c>
      <c r="D67" s="63">
        <v>10580.0</v>
      </c>
      <c r="E67" s="122">
        <v>9980.0</v>
      </c>
      <c r="F67" s="25">
        <f>PRODUCT(E67,G63)</f>
        <v>10678.6</v>
      </c>
      <c r="G67" s="26"/>
      <c r="J67" s="80" t="s">
        <v>112</v>
      </c>
      <c r="K67" s="28">
        <v>7.38</v>
      </c>
      <c r="L67" s="28"/>
      <c r="M67" s="28"/>
      <c r="N67" s="81">
        <f t="shared" ref="N67:N70" si="8">(D70)</f>
        <v>6100</v>
      </c>
      <c r="O67" s="33">
        <f t="shared" si="7"/>
        <v>45018</v>
      </c>
    </row>
    <row r="68" ht="18.0" customHeight="1">
      <c r="A68" s="20" t="s">
        <v>113</v>
      </c>
      <c r="B68" s="63">
        <v>9650.0</v>
      </c>
      <c r="C68" s="63">
        <v>10280.0</v>
      </c>
      <c r="D68" s="63">
        <v>10850.0</v>
      </c>
      <c r="E68" s="122">
        <v>10280.0</v>
      </c>
      <c r="F68" s="25">
        <f>PRODUCT(E68,G63)</f>
        <v>10999.6</v>
      </c>
      <c r="G68" s="26"/>
      <c r="J68" s="80" t="s">
        <v>114</v>
      </c>
      <c r="K68" s="28">
        <v>2.24</v>
      </c>
      <c r="L68" s="28"/>
      <c r="M68" s="28"/>
      <c r="N68" s="81">
        <f t="shared" si="8"/>
        <v>4900</v>
      </c>
      <c r="O68" s="33">
        <f t="shared" si="7"/>
        <v>10976</v>
      </c>
    </row>
    <row r="69" ht="18.0" customHeight="1">
      <c r="A69" s="20" t="s">
        <v>115</v>
      </c>
      <c r="B69" s="63">
        <v>10500.0</v>
      </c>
      <c r="C69" s="63">
        <v>11300.0</v>
      </c>
      <c r="D69" s="63">
        <v>12000.0</v>
      </c>
      <c r="E69" s="122">
        <v>11300.0</v>
      </c>
      <c r="F69" s="25">
        <f>PRODUCT(E69,G63)</f>
        <v>12091</v>
      </c>
      <c r="G69" s="26"/>
      <c r="J69" s="80" t="s">
        <v>116</v>
      </c>
      <c r="K69" s="28">
        <v>1.37</v>
      </c>
      <c r="L69" s="28"/>
      <c r="M69" s="28"/>
      <c r="N69" s="81">
        <f t="shared" si="8"/>
        <v>1800</v>
      </c>
      <c r="O69" s="33">
        <f t="shared" si="7"/>
        <v>2466</v>
      </c>
    </row>
    <row r="70" ht="18.0" customHeight="1">
      <c r="A70" s="20" t="s">
        <v>117</v>
      </c>
      <c r="B70" s="63">
        <v>5450.0</v>
      </c>
      <c r="C70" s="63">
        <v>5750.0</v>
      </c>
      <c r="D70" s="63">
        <v>6100.0</v>
      </c>
      <c r="E70" s="122">
        <v>5750.0</v>
      </c>
      <c r="F70" s="25">
        <f>PRODUCT(E70,G63)</f>
        <v>6152.5</v>
      </c>
      <c r="G70" s="26"/>
      <c r="J70" s="80" t="s">
        <v>118</v>
      </c>
      <c r="K70" s="28">
        <v>3.39</v>
      </c>
      <c r="L70" s="28"/>
      <c r="M70" s="28"/>
      <c r="N70" s="81">
        <f t="shared" si="8"/>
        <v>500</v>
      </c>
      <c r="O70" s="33">
        <f t="shared" si="7"/>
        <v>1695</v>
      </c>
    </row>
    <row r="71" ht="18.0" customHeight="1">
      <c r="A71" s="20" t="s">
        <v>114</v>
      </c>
      <c r="B71" s="63">
        <v>4280.0</v>
      </c>
      <c r="C71" s="63">
        <v>4580.0</v>
      </c>
      <c r="D71" s="63">
        <v>4900.0</v>
      </c>
      <c r="E71" s="122">
        <v>4580.0</v>
      </c>
      <c r="F71" s="25">
        <f>PRODUCT(E71,G63)</f>
        <v>4900.6</v>
      </c>
      <c r="G71" s="26"/>
      <c r="J71" s="123" t="s">
        <v>76</v>
      </c>
      <c r="K71" s="45">
        <f>SUM(K66:K70)</f>
        <v>19.27</v>
      </c>
      <c r="L71" s="45"/>
      <c r="M71" s="45"/>
      <c r="N71" s="46">
        <f>(O71*100)/-O65</f>
        <v>41.514375</v>
      </c>
      <c r="O71" s="47">
        <f>SUM(O65:O70)</f>
        <v>33211.5</v>
      </c>
    </row>
    <row r="72" ht="18.0" customHeight="1">
      <c r="A72" s="20" t="s">
        <v>119</v>
      </c>
      <c r="B72" s="63">
        <v>1700.0</v>
      </c>
      <c r="C72" s="63">
        <v>1800.0</v>
      </c>
      <c r="D72" s="63">
        <v>1800.0</v>
      </c>
      <c r="E72" s="122">
        <v>1800.0</v>
      </c>
      <c r="F72" s="25">
        <f>PRODUCT(E72,G63)</f>
        <v>1926</v>
      </c>
      <c r="G72" s="26"/>
      <c r="N72" s="124">
        <v>46.1</v>
      </c>
    </row>
    <row r="73" ht="18.0" customHeight="1">
      <c r="A73" s="20" t="s">
        <v>118</v>
      </c>
      <c r="B73" s="63">
        <v>500.0</v>
      </c>
      <c r="C73" s="63">
        <v>500.0</v>
      </c>
      <c r="D73" s="63">
        <v>500.0</v>
      </c>
      <c r="E73" s="122">
        <v>500.0</v>
      </c>
      <c r="F73" s="25">
        <f>PRODUCT(E73,G63)</f>
        <v>535</v>
      </c>
      <c r="G73" s="26"/>
      <c r="J73" s="125"/>
      <c r="K73" s="125"/>
      <c r="L73" s="125"/>
      <c r="M73" s="125"/>
      <c r="N73" s="125"/>
      <c r="O73" s="125"/>
    </row>
    <row r="74" ht="18.0" customHeight="1">
      <c r="A74" s="20" t="s">
        <v>120</v>
      </c>
      <c r="B74" s="63">
        <v>15500.0</v>
      </c>
      <c r="C74" s="63">
        <v>16500.0</v>
      </c>
      <c r="D74" s="63">
        <v>17500.0</v>
      </c>
      <c r="E74" s="122">
        <v>16500.0</v>
      </c>
      <c r="F74" s="25">
        <f>PRODUCT(E74,G63)</f>
        <v>17655</v>
      </c>
      <c r="G74" s="26"/>
      <c r="N74" s="124">
        <v>3500.0</v>
      </c>
    </row>
    <row r="75" ht="18.0" customHeight="1">
      <c r="A75" s="48" t="s">
        <v>121</v>
      </c>
      <c r="B75" s="64">
        <v>8500.0</v>
      </c>
      <c r="C75" s="64">
        <v>9000.0</v>
      </c>
      <c r="D75" s="64">
        <v>9700.0</v>
      </c>
      <c r="E75" s="126">
        <v>9000.0</v>
      </c>
      <c r="F75" s="53">
        <f>PRODUCT(E75,G63)</f>
        <v>9630</v>
      </c>
      <c r="G75" s="26"/>
    </row>
    <row r="76" ht="18.0" customHeight="1">
      <c r="D76" s="54"/>
      <c r="E76" s="55"/>
    </row>
    <row r="77" ht="18.0" customHeight="1">
      <c r="D77" s="54"/>
      <c r="E77" s="55"/>
    </row>
    <row r="78" ht="18.0" customHeight="1">
      <c r="A78" s="127" t="s">
        <v>122</v>
      </c>
      <c r="B78" s="127"/>
      <c r="C78" s="127"/>
      <c r="D78" s="127"/>
      <c r="E78" s="127"/>
      <c r="F78" s="127"/>
      <c r="G78" s="127"/>
      <c r="H78" s="127"/>
      <c r="I78" s="127"/>
    </row>
    <row r="79" ht="18.0" customHeight="1">
      <c r="A79" s="9" t="s">
        <v>1</v>
      </c>
      <c r="B79" s="5"/>
      <c r="C79" s="5"/>
      <c r="D79" s="5"/>
      <c r="E79" s="6"/>
      <c r="F79" s="111" t="s">
        <v>2</v>
      </c>
      <c r="G79" s="57">
        <v>1.0</v>
      </c>
    </row>
    <row r="80" ht="18.0" customHeight="1">
      <c r="A80" s="128" t="s">
        <v>122</v>
      </c>
      <c r="B80" s="129"/>
      <c r="C80" s="130" t="s">
        <v>123</v>
      </c>
      <c r="D80" s="13" t="s">
        <v>7</v>
      </c>
      <c r="E80" s="14" t="s">
        <v>8</v>
      </c>
      <c r="F80" s="15" t="s">
        <v>9</v>
      </c>
      <c r="G80" s="16"/>
    </row>
    <row r="81" ht="18.0" customHeight="1">
      <c r="A81" s="131" t="s">
        <v>124</v>
      </c>
      <c r="B81" s="132"/>
      <c r="C81" s="133"/>
      <c r="D81" s="134">
        <v>9900.0</v>
      </c>
      <c r="E81" s="135">
        <v>3000.0</v>
      </c>
      <c r="F81" s="117">
        <f>PRODUCT(E81,G79)</f>
        <v>3000</v>
      </c>
      <c r="G81" s="26"/>
    </row>
    <row r="82" ht="18.0" customHeight="1">
      <c r="A82" s="136" t="s">
        <v>125</v>
      </c>
      <c r="B82" s="137"/>
      <c r="C82" s="138"/>
      <c r="D82" s="139"/>
      <c r="E82" s="140">
        <v>1515.0</v>
      </c>
      <c r="F82" s="25">
        <f>PRODUCT(E82,G79)</f>
        <v>1515</v>
      </c>
      <c r="G82" s="26"/>
    </row>
    <row r="83" ht="18.0" customHeight="1">
      <c r="A83" s="141" t="s">
        <v>126</v>
      </c>
      <c r="B83" s="142"/>
      <c r="C83" s="143"/>
      <c r="D83" s="144"/>
      <c r="E83" s="145">
        <v>1540.0</v>
      </c>
      <c r="F83" s="25">
        <f>PRODUCT(E83,G79)</f>
        <v>1540</v>
      </c>
      <c r="G83" s="26"/>
    </row>
    <row r="84" ht="18.0" customHeight="1">
      <c r="D84" s="54"/>
      <c r="E84" s="55"/>
    </row>
    <row r="85" ht="18.0" customHeight="1">
      <c r="D85" s="54"/>
      <c r="E85" s="55"/>
    </row>
    <row r="86" ht="18.0" customHeight="1">
      <c r="D86" s="54"/>
      <c r="E86" s="55"/>
    </row>
    <row r="87" ht="18.0" customHeight="1">
      <c r="D87" s="54"/>
      <c r="E87" s="55"/>
    </row>
    <row r="88" ht="18.0" customHeight="1">
      <c r="D88" s="54"/>
      <c r="E88" s="55"/>
    </row>
    <row r="89" ht="18.0" customHeight="1">
      <c r="D89" s="54"/>
      <c r="E89" s="55"/>
      <c r="G89" s="81"/>
    </row>
    <row r="90" ht="18.0" customHeight="1">
      <c r="D90" s="54"/>
      <c r="E90" s="55"/>
      <c r="G90" s="81"/>
    </row>
    <row r="91" ht="18.0" customHeight="1">
      <c r="D91" s="54"/>
      <c r="E91" s="55"/>
      <c r="G91" s="81"/>
    </row>
    <row r="92" ht="18.0" customHeight="1">
      <c r="D92" s="54"/>
      <c r="E92" s="55"/>
      <c r="G92" s="81"/>
    </row>
    <row r="93" ht="18.0" customHeight="1">
      <c r="D93" s="54"/>
      <c r="E93" s="55"/>
      <c r="G93" s="81"/>
    </row>
    <row r="94" ht="18.0" customHeight="1">
      <c r="D94" s="54"/>
      <c r="E94" s="55"/>
      <c r="G94" s="81"/>
    </row>
    <row r="95" ht="18.0" customHeight="1">
      <c r="D95" s="54"/>
      <c r="E95" s="55"/>
      <c r="G95" s="81"/>
    </row>
    <row r="96" ht="18.0" customHeight="1">
      <c r="D96" s="54"/>
      <c r="E96" s="55"/>
      <c r="G96" s="81"/>
    </row>
    <row r="97" ht="18.0" customHeight="1">
      <c r="D97" s="54"/>
      <c r="E97" s="55"/>
      <c r="G97" s="81"/>
    </row>
    <row r="98" ht="18.0" customHeight="1">
      <c r="D98" s="54"/>
      <c r="E98" s="55"/>
      <c r="G98" s="81"/>
    </row>
    <row r="99" ht="18.0" customHeight="1">
      <c r="D99" s="54"/>
      <c r="E99" s="55"/>
      <c r="G99" s="81"/>
    </row>
    <row r="100" ht="18.0" customHeight="1">
      <c r="D100" s="54"/>
      <c r="E100" s="55"/>
      <c r="G100" s="81"/>
    </row>
    <row r="101" ht="18.0" customHeight="1">
      <c r="D101" s="54"/>
      <c r="E101" s="55"/>
      <c r="G101" s="81"/>
    </row>
    <row r="102" ht="18.0" customHeight="1">
      <c r="D102" s="54"/>
      <c r="E102" s="55"/>
      <c r="G102" s="81"/>
    </row>
    <row r="103" ht="18.0" customHeight="1">
      <c r="D103" s="54"/>
      <c r="E103" s="55"/>
      <c r="G103" s="81"/>
    </row>
    <row r="104" ht="18.0" customHeight="1">
      <c r="D104" s="54"/>
      <c r="E104" s="55"/>
      <c r="G104" s="81"/>
    </row>
    <row r="105" ht="18.0" customHeight="1">
      <c r="D105" s="54"/>
      <c r="E105" s="55"/>
      <c r="G105" s="81"/>
    </row>
    <row r="106" ht="18.0" customHeight="1">
      <c r="D106" s="54"/>
      <c r="E106" s="55"/>
      <c r="G106" s="81"/>
    </row>
    <row r="107" ht="18.0" customHeight="1">
      <c r="D107" s="54"/>
      <c r="E107" s="55"/>
      <c r="G107" s="81"/>
    </row>
    <row r="108" ht="18.0" customHeight="1">
      <c r="D108" s="54"/>
      <c r="E108" s="55"/>
      <c r="G108" s="81"/>
    </row>
    <row r="109" ht="18.0" customHeight="1">
      <c r="D109" s="54"/>
      <c r="E109" s="55"/>
      <c r="G109" s="81"/>
    </row>
    <row r="110" ht="18.0" customHeight="1">
      <c r="D110" s="54"/>
      <c r="E110" s="55"/>
      <c r="G110" s="81"/>
    </row>
    <row r="111" ht="18.0" customHeight="1">
      <c r="D111" s="54"/>
      <c r="E111" s="55"/>
      <c r="G111" s="81"/>
    </row>
    <row r="112" ht="18.0" customHeight="1">
      <c r="D112" s="54"/>
      <c r="E112" s="55"/>
      <c r="G112" s="81"/>
    </row>
    <row r="113" ht="18.0" customHeight="1">
      <c r="D113" s="54"/>
      <c r="E113" s="55"/>
      <c r="G113" s="81"/>
    </row>
    <row r="114" ht="18.0" customHeight="1">
      <c r="D114" s="54"/>
      <c r="E114" s="55"/>
      <c r="G114" s="81"/>
    </row>
    <row r="115" ht="18.0" customHeight="1">
      <c r="D115" s="54"/>
      <c r="E115" s="55"/>
      <c r="G115" s="81"/>
    </row>
    <row r="116" ht="18.0" customHeight="1">
      <c r="D116" s="54"/>
      <c r="E116" s="55"/>
      <c r="G116" s="81"/>
    </row>
    <row r="117" ht="18.0" customHeight="1">
      <c r="D117" s="54"/>
      <c r="E117" s="55"/>
      <c r="G117" s="110"/>
    </row>
    <row r="118" ht="18.0" customHeight="1">
      <c r="D118" s="54"/>
      <c r="E118" s="55"/>
    </row>
    <row r="119" ht="18.0" customHeight="1">
      <c r="D119" s="54"/>
      <c r="E119" s="55"/>
    </row>
    <row r="120" ht="18.0" customHeight="1">
      <c r="D120" s="54"/>
      <c r="E120" s="55"/>
      <c r="G120" s="146"/>
    </row>
    <row r="121" ht="18.0" customHeight="1">
      <c r="D121" s="54"/>
      <c r="E121" s="55"/>
      <c r="G121" s="147"/>
    </row>
    <row r="122" ht="18.0" customHeight="1">
      <c r="D122" s="54"/>
      <c r="E122" s="55"/>
      <c r="G122" s="148"/>
    </row>
    <row r="123" ht="18.0" customHeight="1">
      <c r="D123" s="54"/>
      <c r="E123" s="55"/>
      <c r="G123" s="81"/>
    </row>
    <row r="124" ht="18.0" customHeight="1">
      <c r="D124" s="54"/>
      <c r="E124" s="55"/>
      <c r="G124" s="81"/>
    </row>
    <row r="125" ht="18.0" customHeight="1">
      <c r="D125" s="54"/>
      <c r="E125" s="55"/>
      <c r="G125" s="81"/>
    </row>
    <row r="126" ht="18.0" customHeight="1">
      <c r="D126" s="54"/>
      <c r="E126" s="55"/>
      <c r="G126" s="81"/>
    </row>
    <row r="127" ht="18.0" customHeight="1">
      <c r="D127" s="54"/>
      <c r="E127" s="55"/>
      <c r="G127" s="81"/>
    </row>
    <row r="128" ht="18.0" customHeight="1">
      <c r="D128" s="54"/>
      <c r="E128" s="55"/>
      <c r="G128" s="81"/>
    </row>
    <row r="129" ht="18.0" customHeight="1">
      <c r="D129" s="54"/>
      <c r="E129" s="55"/>
      <c r="G129" s="81"/>
    </row>
    <row r="130" ht="18.0" customHeight="1">
      <c r="D130" s="54"/>
      <c r="E130" s="55"/>
      <c r="G130" s="81"/>
    </row>
    <row r="131" ht="18.0" customHeight="1">
      <c r="D131" s="54"/>
      <c r="E131" s="55"/>
      <c r="G131" s="81"/>
    </row>
    <row r="132" ht="18.0" customHeight="1">
      <c r="D132" s="54"/>
      <c r="E132" s="55"/>
      <c r="G132" s="110"/>
    </row>
    <row r="133" ht="18.0" customHeight="1">
      <c r="D133" s="54"/>
      <c r="E133" s="55"/>
      <c r="G133" s="110"/>
    </row>
    <row r="134" ht="18.0" customHeight="1">
      <c r="D134" s="54"/>
      <c r="E134" s="55"/>
    </row>
    <row r="135" ht="18.0" customHeight="1">
      <c r="D135" s="54"/>
      <c r="E135" s="55"/>
      <c r="G135" s="147"/>
    </row>
    <row r="136" ht="18.0" customHeight="1">
      <c r="D136" s="54"/>
      <c r="E136" s="55"/>
      <c r="G136" s="147"/>
    </row>
    <row r="137" ht="18.0" customHeight="1">
      <c r="D137" s="54"/>
      <c r="E137" s="55"/>
      <c r="G137" s="149"/>
    </row>
    <row r="138" ht="18.0" customHeight="1">
      <c r="D138" s="54"/>
      <c r="E138" s="55"/>
      <c r="G138" s="81"/>
    </row>
    <row r="139" ht="18.0" customHeight="1">
      <c r="D139" s="54"/>
      <c r="E139" s="55"/>
      <c r="G139" s="81"/>
    </row>
    <row r="140" ht="18.0" customHeight="1">
      <c r="D140" s="54"/>
      <c r="E140" s="55"/>
      <c r="G140" s="81"/>
    </row>
    <row r="141" ht="18.0" customHeight="1">
      <c r="D141" s="54"/>
      <c r="E141" s="55"/>
      <c r="G141" s="81"/>
    </row>
    <row r="142" ht="18.0" customHeight="1">
      <c r="D142" s="54"/>
      <c r="E142" s="55"/>
      <c r="G142" s="81"/>
    </row>
    <row r="143" ht="18.0" customHeight="1">
      <c r="D143" s="54"/>
      <c r="E143" s="55"/>
      <c r="G143" s="81"/>
    </row>
    <row r="144" ht="18.0" customHeight="1">
      <c r="D144" s="54"/>
      <c r="E144" s="55"/>
      <c r="G144" s="81"/>
    </row>
    <row r="145" ht="18.0" customHeight="1">
      <c r="D145" s="54"/>
      <c r="E145" s="55"/>
      <c r="G145" s="81"/>
    </row>
    <row r="146" ht="18.0" customHeight="1">
      <c r="D146" s="54"/>
      <c r="E146" s="55"/>
      <c r="G146" s="81"/>
    </row>
    <row r="147" ht="18.0" customHeight="1">
      <c r="D147" s="54"/>
      <c r="E147" s="55"/>
      <c r="G147" s="110"/>
    </row>
    <row r="148" ht="18.0" customHeight="1">
      <c r="D148" s="54"/>
      <c r="E148" s="55"/>
      <c r="G148" s="110"/>
    </row>
    <row r="149" ht="18.0" customHeight="1">
      <c r="D149" s="54"/>
      <c r="E149" s="55"/>
    </row>
    <row r="150" ht="18.0" customHeight="1">
      <c r="D150" s="54"/>
      <c r="E150" s="55"/>
    </row>
    <row r="151" ht="18.0" customHeight="1">
      <c r="D151" s="54"/>
      <c r="E151" s="55"/>
    </row>
    <row r="152" ht="18.0" customHeight="1">
      <c r="D152" s="54"/>
      <c r="E152" s="55"/>
    </row>
    <row r="153" ht="18.0" customHeight="1">
      <c r="D153" s="54"/>
      <c r="E153" s="55"/>
    </row>
    <row r="154" ht="18.0" customHeight="1">
      <c r="D154" s="54"/>
      <c r="E154" s="55"/>
    </row>
    <row r="155" ht="18.0" customHeight="1">
      <c r="D155" s="54"/>
      <c r="E155" s="55"/>
    </row>
    <row r="156" ht="18.0" customHeight="1">
      <c r="D156" s="54"/>
      <c r="E156" s="55"/>
    </row>
    <row r="157" ht="18.0" customHeight="1">
      <c r="D157" s="54"/>
      <c r="E157" s="55"/>
    </row>
    <row r="158" ht="18.0" customHeight="1">
      <c r="D158" s="54"/>
      <c r="E158" s="55"/>
    </row>
    <row r="159" ht="18.0" customHeight="1">
      <c r="D159" s="54"/>
      <c r="E159" s="55"/>
    </row>
    <row r="160" ht="18.0" customHeight="1">
      <c r="D160" s="54"/>
      <c r="E160" s="55"/>
    </row>
    <row r="161" ht="18.0" customHeight="1">
      <c r="D161" s="54"/>
      <c r="E161" s="55"/>
    </row>
    <row r="162" ht="18.0" customHeight="1">
      <c r="D162" s="54"/>
      <c r="E162" s="55"/>
    </row>
    <row r="163" ht="18.0" customHeight="1">
      <c r="D163" s="54"/>
      <c r="E163" s="55"/>
    </row>
    <row r="164" ht="18.0" customHeight="1">
      <c r="D164" s="54"/>
      <c r="E164" s="55"/>
    </row>
    <row r="165" ht="18.0" customHeight="1">
      <c r="D165" s="54"/>
      <c r="E165" s="55"/>
    </row>
    <row r="166" ht="18.0" customHeight="1">
      <c r="D166" s="54"/>
      <c r="E166" s="55"/>
    </row>
    <row r="167" ht="18.0" customHeight="1">
      <c r="D167" s="54"/>
      <c r="E167" s="55"/>
    </row>
    <row r="168" ht="18.0" customHeight="1">
      <c r="D168" s="54"/>
      <c r="E168" s="55"/>
    </row>
    <row r="169" ht="18.0" customHeight="1">
      <c r="D169" s="54"/>
      <c r="E169" s="55"/>
    </row>
    <row r="170" ht="18.0" customHeight="1">
      <c r="D170" s="54"/>
      <c r="E170" s="55"/>
    </row>
    <row r="171" ht="18.0" customHeight="1">
      <c r="D171" s="54"/>
      <c r="E171" s="55"/>
    </row>
    <row r="172" ht="18.0" customHeight="1">
      <c r="D172" s="54"/>
      <c r="E172" s="55"/>
    </row>
    <row r="173" ht="18.0" customHeight="1">
      <c r="D173" s="54"/>
      <c r="E173" s="55"/>
    </row>
    <row r="174" ht="18.0" customHeight="1">
      <c r="D174" s="54"/>
      <c r="E174" s="55"/>
    </row>
    <row r="175" ht="18.0" customHeight="1">
      <c r="D175" s="54"/>
      <c r="E175" s="55"/>
    </row>
    <row r="176" ht="18.0" customHeight="1">
      <c r="D176" s="54"/>
      <c r="E176" s="55"/>
    </row>
    <row r="177" ht="18.0" customHeight="1">
      <c r="D177" s="54"/>
      <c r="E177" s="55"/>
    </row>
    <row r="178" ht="18.0" customHeight="1">
      <c r="D178" s="54"/>
      <c r="E178" s="55"/>
    </row>
    <row r="179" ht="18.0" customHeight="1">
      <c r="D179" s="54"/>
      <c r="E179" s="55"/>
    </row>
    <row r="180" ht="18.0" customHeight="1">
      <c r="D180" s="54"/>
      <c r="E180" s="55"/>
    </row>
    <row r="181" ht="18.0" customHeight="1">
      <c r="D181" s="54"/>
      <c r="E181" s="55"/>
    </row>
    <row r="182" ht="18.0" customHeight="1">
      <c r="D182" s="54"/>
      <c r="E182" s="55"/>
    </row>
    <row r="183" ht="18.0" customHeight="1">
      <c r="D183" s="54"/>
      <c r="E183" s="55"/>
    </row>
    <row r="184" ht="18.0" customHeight="1">
      <c r="D184" s="54"/>
      <c r="E184" s="55"/>
    </row>
    <row r="185" ht="18.0" customHeight="1">
      <c r="D185" s="54"/>
      <c r="E185" s="55"/>
    </row>
    <row r="186" ht="18.0" customHeight="1">
      <c r="D186" s="54"/>
      <c r="E186" s="55"/>
    </row>
    <row r="187" ht="18.0" customHeight="1">
      <c r="D187" s="54"/>
      <c r="E187" s="55"/>
    </row>
    <row r="188" ht="18.0" customHeight="1">
      <c r="D188" s="54"/>
      <c r="E188" s="55"/>
    </row>
    <row r="189" ht="18.0" customHeight="1">
      <c r="D189" s="54"/>
      <c r="E189" s="55"/>
    </row>
    <row r="190" ht="18.0" customHeight="1">
      <c r="D190" s="54"/>
      <c r="E190" s="55"/>
    </row>
    <row r="191" ht="18.0" customHeight="1">
      <c r="D191" s="54"/>
      <c r="E191" s="55"/>
    </row>
    <row r="192" ht="18.0" customHeight="1">
      <c r="D192" s="54"/>
      <c r="E192" s="55"/>
    </row>
    <row r="193" ht="18.0" customHeight="1">
      <c r="D193" s="54"/>
      <c r="E193" s="55"/>
    </row>
    <row r="194" ht="18.0" customHeight="1">
      <c r="D194" s="54"/>
      <c r="E194" s="55"/>
    </row>
    <row r="195" ht="18.0" customHeight="1">
      <c r="D195" s="54"/>
      <c r="E195" s="55"/>
    </row>
    <row r="196" ht="18.0" customHeight="1">
      <c r="D196" s="54"/>
      <c r="E196" s="55"/>
    </row>
    <row r="197" ht="18.0" customHeight="1">
      <c r="D197" s="54"/>
      <c r="E197" s="55"/>
    </row>
    <row r="198" ht="18.0" customHeight="1">
      <c r="D198" s="54"/>
      <c r="E198" s="55"/>
    </row>
    <row r="199" ht="18.0" customHeight="1">
      <c r="D199" s="54"/>
      <c r="E199" s="55"/>
    </row>
    <row r="200" ht="18.0" customHeight="1">
      <c r="D200" s="54"/>
      <c r="E200" s="55"/>
    </row>
    <row r="201" ht="18.0" customHeight="1">
      <c r="D201" s="54"/>
      <c r="E201" s="55"/>
    </row>
    <row r="202" ht="18.0" customHeight="1">
      <c r="D202" s="54"/>
      <c r="E202" s="55"/>
    </row>
    <row r="203" ht="18.0" customHeight="1">
      <c r="D203" s="54"/>
      <c r="E203" s="55"/>
    </row>
    <row r="204" ht="18.0" customHeight="1">
      <c r="D204" s="54"/>
      <c r="E204" s="55"/>
    </row>
    <row r="205" ht="18.0" customHeight="1">
      <c r="D205" s="54"/>
      <c r="E205" s="55"/>
    </row>
    <row r="206" ht="18.0" customHeight="1">
      <c r="D206" s="54"/>
      <c r="E206" s="55"/>
    </row>
    <row r="207" ht="18.0" customHeight="1">
      <c r="D207" s="54"/>
      <c r="E207" s="55"/>
    </row>
    <row r="208" ht="18.0" customHeight="1">
      <c r="D208" s="54"/>
      <c r="E208" s="55"/>
    </row>
    <row r="209" ht="18.0" customHeight="1">
      <c r="D209" s="54"/>
      <c r="E209" s="55"/>
    </row>
    <row r="210" ht="18.0" customHeight="1">
      <c r="D210" s="54"/>
      <c r="E210" s="55"/>
    </row>
    <row r="211" ht="18.0" customHeight="1">
      <c r="D211" s="54"/>
      <c r="E211" s="55"/>
    </row>
    <row r="212" ht="18.0" customHeight="1">
      <c r="D212" s="54"/>
      <c r="E212" s="55"/>
    </row>
    <row r="213" ht="18.0" customHeight="1">
      <c r="D213" s="54"/>
      <c r="E213" s="55"/>
    </row>
    <row r="214" ht="18.0" customHeight="1">
      <c r="D214" s="54"/>
      <c r="E214" s="55"/>
    </row>
    <row r="215" ht="18.0" customHeight="1">
      <c r="D215" s="54"/>
      <c r="E215" s="55"/>
    </row>
    <row r="216" ht="18.0" customHeight="1">
      <c r="D216" s="54"/>
      <c r="E216" s="55"/>
    </row>
    <row r="217" ht="18.0" customHeight="1">
      <c r="D217" s="54"/>
      <c r="E217" s="55"/>
    </row>
    <row r="218" ht="18.0" customHeight="1">
      <c r="D218" s="54"/>
      <c r="E218" s="55"/>
    </row>
    <row r="219" ht="18.0" customHeight="1">
      <c r="D219" s="54"/>
      <c r="E219" s="55"/>
    </row>
    <row r="220" ht="18.0" customHeight="1">
      <c r="D220" s="54"/>
      <c r="E220" s="55"/>
    </row>
    <row r="221" ht="18.0" customHeight="1">
      <c r="D221" s="54"/>
      <c r="E221" s="55"/>
    </row>
    <row r="222" ht="18.0" customHeight="1">
      <c r="D222" s="54"/>
      <c r="E222" s="55"/>
    </row>
    <row r="223" ht="18.0" customHeight="1">
      <c r="D223" s="54"/>
      <c r="E223" s="55"/>
    </row>
    <row r="224" ht="18.0" customHeight="1">
      <c r="D224" s="54"/>
      <c r="E224" s="55"/>
    </row>
    <row r="225" ht="18.0" customHeight="1">
      <c r="D225" s="54"/>
      <c r="E225" s="55"/>
    </row>
    <row r="226" ht="18.0" customHeight="1">
      <c r="D226" s="54"/>
      <c r="E226" s="55"/>
    </row>
    <row r="227" ht="18.0" customHeight="1">
      <c r="D227" s="54"/>
      <c r="E227" s="55"/>
    </row>
    <row r="228" ht="18.0" customHeight="1">
      <c r="D228" s="54"/>
      <c r="E228" s="55"/>
    </row>
    <row r="229" ht="18.0" customHeight="1">
      <c r="D229" s="54"/>
      <c r="E229" s="55"/>
    </row>
    <row r="230" ht="18.0" customHeight="1">
      <c r="D230" s="54"/>
      <c r="E230" s="55"/>
    </row>
    <row r="231" ht="18.0" customHeight="1">
      <c r="D231" s="54"/>
      <c r="E231" s="55"/>
    </row>
    <row r="232" ht="18.0" customHeight="1">
      <c r="D232" s="54"/>
      <c r="E232" s="55"/>
    </row>
    <row r="233" ht="18.0" customHeight="1">
      <c r="D233" s="54"/>
      <c r="E233" s="55"/>
    </row>
    <row r="234" ht="18.0" customHeight="1">
      <c r="D234" s="54"/>
      <c r="E234" s="55"/>
    </row>
    <row r="235" ht="18.0" customHeight="1">
      <c r="D235" s="54"/>
      <c r="E235" s="55"/>
    </row>
    <row r="236" ht="18.0" customHeight="1">
      <c r="D236" s="54"/>
      <c r="E236" s="55"/>
    </row>
    <row r="237" ht="18.0" customHeight="1">
      <c r="D237" s="54"/>
      <c r="E237" s="55"/>
    </row>
    <row r="238" ht="18.0" customHeight="1">
      <c r="D238" s="54"/>
      <c r="E238" s="55"/>
    </row>
    <row r="239" ht="18.0" customHeight="1">
      <c r="D239" s="54"/>
      <c r="E239" s="55"/>
    </row>
    <row r="240" ht="18.0" customHeight="1">
      <c r="D240" s="54"/>
      <c r="E240" s="55"/>
    </row>
    <row r="241" ht="18.0" customHeight="1">
      <c r="D241" s="54"/>
      <c r="E241" s="55"/>
    </row>
    <row r="242" ht="18.0" customHeight="1">
      <c r="D242" s="54"/>
      <c r="E242" s="55"/>
    </row>
    <row r="243" ht="18.0" customHeight="1">
      <c r="D243" s="54"/>
      <c r="E243" s="55"/>
    </row>
    <row r="244" ht="18.0" customHeight="1">
      <c r="D244" s="54"/>
      <c r="E244" s="55"/>
    </row>
    <row r="245" ht="18.0" customHeight="1">
      <c r="D245" s="54"/>
      <c r="E245" s="55"/>
    </row>
    <row r="246" ht="18.0" customHeight="1">
      <c r="D246" s="54"/>
      <c r="E246" s="55"/>
    </row>
    <row r="247" ht="18.0" customHeight="1">
      <c r="D247" s="54"/>
      <c r="E247" s="55"/>
    </row>
    <row r="248" ht="18.0" customHeight="1">
      <c r="D248" s="54"/>
      <c r="E248" s="55"/>
    </row>
    <row r="249" ht="18.0" customHeight="1">
      <c r="D249" s="54"/>
      <c r="E249" s="55"/>
    </row>
    <row r="250" ht="18.0" customHeight="1">
      <c r="D250" s="54"/>
      <c r="E250" s="55"/>
    </row>
    <row r="251" ht="18.0" customHeight="1">
      <c r="D251" s="54"/>
      <c r="E251" s="55"/>
    </row>
    <row r="252" ht="18.0" customHeight="1">
      <c r="D252" s="54"/>
      <c r="E252" s="55"/>
    </row>
    <row r="253" ht="18.0" customHeight="1">
      <c r="D253" s="54"/>
      <c r="E253" s="55"/>
    </row>
    <row r="254" ht="18.0" customHeight="1">
      <c r="D254" s="54"/>
      <c r="E254" s="55"/>
    </row>
    <row r="255" ht="18.0" customHeight="1">
      <c r="D255" s="54"/>
      <c r="E255" s="55"/>
    </row>
    <row r="256" ht="18.0" customHeight="1">
      <c r="D256" s="54"/>
      <c r="E256" s="55"/>
    </row>
    <row r="257" ht="18.0" customHeight="1">
      <c r="D257" s="54"/>
      <c r="E257" s="55"/>
    </row>
    <row r="258" ht="18.0" customHeight="1">
      <c r="D258" s="54"/>
      <c r="E258" s="55"/>
    </row>
    <row r="259" ht="18.0" customHeight="1">
      <c r="D259" s="54"/>
      <c r="E259" s="55"/>
    </row>
    <row r="260" ht="18.0" customHeight="1">
      <c r="D260" s="54"/>
      <c r="E260" s="55"/>
    </row>
    <row r="261" ht="18.0" customHeight="1">
      <c r="D261" s="54"/>
      <c r="E261" s="55"/>
    </row>
    <row r="262" ht="18.0" customHeight="1">
      <c r="D262" s="54"/>
      <c r="E262" s="55"/>
    </row>
    <row r="263" ht="18.0" customHeight="1">
      <c r="D263" s="54"/>
      <c r="E263" s="55"/>
    </row>
    <row r="264" ht="18.0" customHeight="1">
      <c r="D264" s="54"/>
      <c r="E264" s="55"/>
    </row>
    <row r="265" ht="18.0" customHeight="1">
      <c r="D265" s="54"/>
      <c r="E265" s="55"/>
    </row>
    <row r="266" ht="18.0" customHeight="1">
      <c r="D266" s="54"/>
      <c r="E266" s="55"/>
    </row>
    <row r="267" ht="18.0" customHeight="1">
      <c r="D267" s="54"/>
      <c r="E267" s="55"/>
    </row>
    <row r="268" ht="18.0" customHeight="1">
      <c r="D268" s="54"/>
      <c r="E268" s="55"/>
    </row>
    <row r="269" ht="18.0" customHeight="1">
      <c r="D269" s="54"/>
      <c r="E269" s="55"/>
    </row>
    <row r="270" ht="18.0" customHeight="1">
      <c r="D270" s="54"/>
      <c r="E270" s="55"/>
    </row>
    <row r="271" ht="18.0" customHeight="1">
      <c r="D271" s="54"/>
      <c r="E271" s="55"/>
    </row>
    <row r="272" ht="18.0" customHeight="1">
      <c r="D272" s="54"/>
      <c r="E272" s="55"/>
    </row>
    <row r="273" ht="18.0" customHeight="1">
      <c r="D273" s="54"/>
      <c r="E273" s="55"/>
    </row>
    <row r="274" ht="18.0" customHeight="1">
      <c r="D274" s="54"/>
      <c r="E274" s="55"/>
    </row>
    <row r="275" ht="18.0" customHeight="1">
      <c r="D275" s="54"/>
      <c r="E275" s="55"/>
    </row>
    <row r="276" ht="18.0" customHeight="1">
      <c r="D276" s="54"/>
      <c r="E276" s="55"/>
    </row>
    <row r="277" ht="18.0" customHeight="1">
      <c r="D277" s="54"/>
      <c r="E277" s="55"/>
    </row>
    <row r="278" ht="18.0" customHeight="1">
      <c r="D278" s="54"/>
      <c r="E278" s="55"/>
    </row>
    <row r="279" ht="18.0" customHeight="1">
      <c r="D279" s="54"/>
      <c r="E279" s="55"/>
    </row>
    <row r="280" ht="18.0" customHeight="1">
      <c r="D280" s="54"/>
      <c r="E280" s="55"/>
    </row>
    <row r="281" ht="18.0" customHeight="1">
      <c r="D281" s="54"/>
      <c r="E281" s="55"/>
    </row>
    <row r="282" ht="18.0" customHeight="1">
      <c r="D282" s="54"/>
      <c r="E282" s="55"/>
    </row>
    <row r="283" ht="18.0" customHeight="1">
      <c r="D283" s="54"/>
      <c r="E283" s="55"/>
    </row>
    <row r="284" ht="18.0" customHeight="1">
      <c r="D284" s="54"/>
      <c r="E284" s="55"/>
    </row>
    <row r="285" ht="18.0" customHeight="1">
      <c r="D285" s="54"/>
      <c r="E285" s="55"/>
    </row>
    <row r="286" ht="18.0" customHeight="1">
      <c r="D286" s="54"/>
      <c r="E286" s="55"/>
    </row>
    <row r="287" ht="18.0" customHeight="1">
      <c r="D287" s="54"/>
      <c r="E287" s="55"/>
    </row>
    <row r="288" ht="18.0" customHeight="1">
      <c r="D288" s="54"/>
      <c r="E288" s="55"/>
    </row>
    <row r="289" ht="18.0" customHeight="1">
      <c r="D289" s="54"/>
      <c r="E289" s="55"/>
    </row>
    <row r="290" ht="18.0" customHeight="1">
      <c r="D290" s="54"/>
      <c r="E290" s="55"/>
    </row>
    <row r="291" ht="18.0" customHeight="1">
      <c r="D291" s="54"/>
      <c r="E291" s="55"/>
    </row>
    <row r="292" ht="18.0" customHeight="1">
      <c r="D292" s="54"/>
      <c r="E292" s="55"/>
    </row>
    <row r="293" ht="18.0" customHeight="1">
      <c r="D293" s="54"/>
      <c r="E293" s="55"/>
    </row>
    <row r="294" ht="18.0" customHeight="1">
      <c r="D294" s="54"/>
      <c r="E294" s="55"/>
    </row>
    <row r="295" ht="18.0" customHeight="1">
      <c r="D295" s="54"/>
      <c r="E295" s="55"/>
    </row>
    <row r="296" ht="18.0" customHeight="1">
      <c r="D296" s="54"/>
      <c r="E296" s="55"/>
    </row>
    <row r="297" ht="18.0" customHeight="1">
      <c r="D297" s="54"/>
      <c r="E297" s="55"/>
    </row>
    <row r="298" ht="18.0" customHeight="1">
      <c r="D298" s="54"/>
      <c r="E298" s="55"/>
    </row>
    <row r="299" ht="18.0" customHeight="1">
      <c r="D299" s="54"/>
      <c r="E299" s="55"/>
    </row>
    <row r="300" ht="18.0" customHeight="1">
      <c r="D300" s="54"/>
      <c r="E300" s="55"/>
    </row>
    <row r="301" ht="18.0" customHeight="1">
      <c r="D301" s="54"/>
      <c r="E301" s="55"/>
    </row>
    <row r="302" ht="18.0" customHeight="1">
      <c r="D302" s="54"/>
      <c r="E302" s="55"/>
    </row>
    <row r="303" ht="18.0" customHeight="1">
      <c r="D303" s="54"/>
      <c r="E303" s="55"/>
    </row>
    <row r="304" ht="18.0" customHeight="1">
      <c r="D304" s="54"/>
      <c r="E304" s="55"/>
    </row>
    <row r="305" ht="18.0" customHeight="1">
      <c r="D305" s="54"/>
      <c r="E305" s="55"/>
    </row>
    <row r="306" ht="18.0" customHeight="1">
      <c r="D306" s="54"/>
      <c r="E306" s="55"/>
    </row>
    <row r="307" ht="18.0" customHeight="1">
      <c r="D307" s="54"/>
      <c r="E307" s="55"/>
    </row>
    <row r="308" ht="18.0" customHeight="1">
      <c r="D308" s="54"/>
      <c r="E308" s="55"/>
    </row>
    <row r="309" ht="18.0" customHeight="1">
      <c r="D309" s="54"/>
      <c r="E309" s="55"/>
    </row>
    <row r="310" ht="18.0" customHeight="1">
      <c r="D310" s="54"/>
      <c r="E310" s="55"/>
    </row>
    <row r="311" ht="18.0" customHeight="1">
      <c r="D311" s="54"/>
      <c r="E311" s="55"/>
    </row>
    <row r="312" ht="18.0" customHeight="1">
      <c r="D312" s="54"/>
      <c r="E312" s="55"/>
    </row>
    <row r="313" ht="18.0" customHeight="1">
      <c r="D313" s="54"/>
      <c r="E313" s="55"/>
    </row>
    <row r="314" ht="18.0" customHeight="1">
      <c r="D314" s="54"/>
      <c r="E314" s="55"/>
    </row>
    <row r="315" ht="18.0" customHeight="1">
      <c r="D315" s="54"/>
      <c r="E315" s="55"/>
    </row>
    <row r="316" ht="18.0" customHeight="1">
      <c r="D316" s="54"/>
      <c r="E316" s="55"/>
    </row>
    <row r="317" ht="18.0" customHeight="1">
      <c r="D317" s="54"/>
      <c r="E317" s="55"/>
    </row>
    <row r="318" ht="18.0" customHeight="1">
      <c r="D318" s="54"/>
      <c r="E318" s="55"/>
    </row>
    <row r="319" ht="18.0" customHeight="1">
      <c r="D319" s="54"/>
      <c r="E319" s="55"/>
    </row>
    <row r="320" ht="18.0" customHeight="1">
      <c r="D320" s="54"/>
      <c r="E320" s="55"/>
    </row>
    <row r="321" ht="18.0" customHeight="1">
      <c r="D321" s="54"/>
      <c r="E321" s="55"/>
    </row>
    <row r="322" ht="18.0" customHeight="1">
      <c r="D322" s="54"/>
      <c r="E322" s="55"/>
    </row>
    <row r="323" ht="18.0" customHeight="1">
      <c r="D323" s="54"/>
      <c r="E323" s="55"/>
    </row>
    <row r="324" ht="18.0" customHeight="1">
      <c r="D324" s="54"/>
      <c r="E324" s="55"/>
    </row>
    <row r="325" ht="18.0" customHeight="1">
      <c r="D325" s="54"/>
      <c r="E325" s="55"/>
    </row>
    <row r="326" ht="18.0" customHeight="1">
      <c r="D326" s="54"/>
      <c r="E326" s="55"/>
    </row>
    <row r="327" ht="18.0" customHeight="1">
      <c r="D327" s="54"/>
      <c r="E327" s="55"/>
    </row>
    <row r="328" ht="18.0" customHeight="1">
      <c r="D328" s="54"/>
      <c r="E328" s="55"/>
    </row>
    <row r="329" ht="18.0" customHeight="1">
      <c r="D329" s="54"/>
      <c r="E329" s="55"/>
    </row>
    <row r="330" ht="18.0" customHeight="1">
      <c r="D330" s="54"/>
      <c r="E330" s="55"/>
    </row>
    <row r="331" ht="18.0" customHeight="1">
      <c r="D331" s="54"/>
      <c r="E331" s="55"/>
    </row>
    <row r="332" ht="18.0" customHeight="1">
      <c r="D332" s="54"/>
      <c r="E332" s="55"/>
    </row>
    <row r="333" ht="18.0" customHeight="1">
      <c r="D333" s="54"/>
      <c r="E333" s="55"/>
    </row>
    <row r="334" ht="18.0" customHeight="1">
      <c r="D334" s="54"/>
      <c r="E334" s="55"/>
    </row>
    <row r="335" ht="18.0" customHeight="1">
      <c r="D335" s="54"/>
      <c r="E335" s="55"/>
    </row>
    <row r="336" ht="18.0" customHeight="1">
      <c r="D336" s="54"/>
      <c r="E336" s="55"/>
    </row>
    <row r="337" ht="18.0" customHeight="1">
      <c r="D337" s="54"/>
      <c r="E337" s="55"/>
    </row>
    <row r="338" ht="18.0" customHeight="1">
      <c r="D338" s="54"/>
      <c r="E338" s="55"/>
    </row>
    <row r="339" ht="18.0" customHeight="1">
      <c r="D339" s="54"/>
      <c r="E339" s="55"/>
    </row>
    <row r="340" ht="18.0" customHeight="1">
      <c r="D340" s="54"/>
      <c r="E340" s="55"/>
    </row>
    <row r="341" ht="18.0" customHeight="1">
      <c r="D341" s="54"/>
      <c r="E341" s="55"/>
    </row>
    <row r="342" ht="18.0" customHeight="1">
      <c r="D342" s="54"/>
      <c r="E342" s="55"/>
    </row>
    <row r="343" ht="18.0" customHeight="1">
      <c r="D343" s="54"/>
      <c r="E343" s="55"/>
    </row>
    <row r="344" ht="18.0" customHeight="1">
      <c r="D344" s="54"/>
      <c r="E344" s="55"/>
    </row>
    <row r="345" ht="18.0" customHeight="1">
      <c r="D345" s="54"/>
      <c r="E345" s="55"/>
    </row>
    <row r="346" ht="18.0" customHeight="1">
      <c r="D346" s="54"/>
      <c r="E346" s="55"/>
    </row>
    <row r="347" ht="18.0" customHeight="1">
      <c r="D347" s="54"/>
      <c r="E347" s="55"/>
    </row>
    <row r="348" ht="18.0" customHeight="1">
      <c r="D348" s="54"/>
      <c r="E348" s="55"/>
    </row>
    <row r="349" ht="18.0" customHeight="1">
      <c r="D349" s="54"/>
      <c r="E349" s="55"/>
    </row>
    <row r="350" ht="18.0" customHeight="1">
      <c r="D350" s="54"/>
      <c r="E350" s="55"/>
    </row>
    <row r="351" ht="18.0" customHeight="1">
      <c r="D351" s="54"/>
      <c r="E351" s="55"/>
    </row>
    <row r="352" ht="18.0" customHeight="1">
      <c r="D352" s="54"/>
      <c r="E352" s="55"/>
    </row>
    <row r="353" ht="18.0" customHeight="1">
      <c r="D353" s="54"/>
      <c r="E353" s="55"/>
    </row>
    <row r="354" ht="18.0" customHeight="1">
      <c r="D354" s="54"/>
      <c r="E354" s="55"/>
    </row>
    <row r="355" ht="18.0" customHeight="1">
      <c r="D355" s="54"/>
      <c r="E355" s="55"/>
    </row>
    <row r="356" ht="18.0" customHeight="1">
      <c r="D356" s="54"/>
      <c r="E356" s="55"/>
    </row>
    <row r="357" ht="18.0" customHeight="1">
      <c r="D357" s="54"/>
      <c r="E357" s="55"/>
    </row>
    <row r="358" ht="18.0" customHeight="1">
      <c r="D358" s="54"/>
      <c r="E358" s="55"/>
    </row>
    <row r="359" ht="18.0" customHeight="1">
      <c r="D359" s="54"/>
      <c r="E359" s="55"/>
    </row>
    <row r="360" ht="18.0" customHeight="1">
      <c r="D360" s="54"/>
      <c r="E360" s="55"/>
    </row>
    <row r="361" ht="18.0" customHeight="1">
      <c r="D361" s="54"/>
      <c r="E361" s="55"/>
    </row>
    <row r="362" ht="18.0" customHeight="1">
      <c r="D362" s="54"/>
      <c r="E362" s="55"/>
    </row>
    <row r="363" ht="18.0" customHeight="1">
      <c r="D363" s="54"/>
      <c r="E363" s="55"/>
    </row>
    <row r="364" ht="18.0" customHeight="1">
      <c r="D364" s="54"/>
      <c r="E364" s="55"/>
    </row>
    <row r="365" ht="18.0" customHeight="1">
      <c r="D365" s="54"/>
      <c r="E365" s="55"/>
    </row>
    <row r="366" ht="18.0" customHeight="1">
      <c r="D366" s="54"/>
      <c r="E366" s="55"/>
    </row>
    <row r="367" ht="18.0" customHeight="1">
      <c r="D367" s="54"/>
      <c r="E367" s="55"/>
    </row>
    <row r="368" ht="18.0" customHeight="1">
      <c r="D368" s="54"/>
      <c r="E368" s="55"/>
    </row>
    <row r="369" ht="18.0" customHeight="1">
      <c r="D369" s="54"/>
      <c r="E369" s="55"/>
    </row>
    <row r="370" ht="18.0" customHeight="1">
      <c r="D370" s="54"/>
      <c r="E370" s="55"/>
    </row>
    <row r="371" ht="18.0" customHeight="1">
      <c r="D371" s="54"/>
      <c r="E371" s="55"/>
    </row>
    <row r="372" ht="18.0" customHeight="1">
      <c r="D372" s="54"/>
      <c r="E372" s="55"/>
    </row>
    <row r="373" ht="18.0" customHeight="1">
      <c r="D373" s="54"/>
      <c r="E373" s="55"/>
    </row>
    <row r="374" ht="18.0" customHeight="1">
      <c r="D374" s="54"/>
      <c r="E374" s="55"/>
    </row>
    <row r="375" ht="18.0" customHeight="1">
      <c r="D375" s="54"/>
      <c r="E375" s="55"/>
    </row>
    <row r="376" ht="18.0" customHeight="1">
      <c r="D376" s="54"/>
      <c r="E376" s="55"/>
    </row>
    <row r="377" ht="18.0" customHeight="1">
      <c r="D377" s="54"/>
      <c r="E377" s="55"/>
    </row>
    <row r="378" ht="18.0" customHeight="1">
      <c r="D378" s="54"/>
      <c r="E378" s="55"/>
    </row>
    <row r="379" ht="18.0" customHeight="1">
      <c r="D379" s="54"/>
      <c r="E379" s="55"/>
    </row>
    <row r="380" ht="18.0" customHeight="1">
      <c r="D380" s="54"/>
      <c r="E380" s="55"/>
    </row>
    <row r="381" ht="18.0" customHeight="1">
      <c r="D381" s="54"/>
      <c r="E381" s="55"/>
    </row>
    <row r="382" ht="18.0" customHeight="1">
      <c r="D382" s="54"/>
      <c r="E382" s="55"/>
    </row>
    <row r="383" ht="18.0" customHeight="1">
      <c r="D383" s="54"/>
      <c r="E383" s="55"/>
    </row>
    <row r="384" ht="18.0" customHeight="1">
      <c r="D384" s="54"/>
      <c r="E384" s="55"/>
    </row>
    <row r="385" ht="18.0" customHeight="1">
      <c r="D385" s="54"/>
      <c r="E385" s="55"/>
    </row>
    <row r="386" ht="18.0" customHeight="1">
      <c r="D386" s="54"/>
      <c r="E386" s="55"/>
    </row>
    <row r="387" ht="18.0" customHeight="1">
      <c r="D387" s="54"/>
      <c r="E387" s="55"/>
    </row>
    <row r="388" ht="18.0" customHeight="1">
      <c r="D388" s="54"/>
      <c r="E388" s="55"/>
    </row>
    <row r="389" ht="18.0" customHeight="1">
      <c r="D389" s="54"/>
      <c r="E389" s="55"/>
    </row>
    <row r="390" ht="18.0" customHeight="1">
      <c r="D390" s="54"/>
      <c r="E390" s="55"/>
    </row>
    <row r="391" ht="18.0" customHeight="1">
      <c r="D391" s="54"/>
      <c r="E391" s="55"/>
    </row>
    <row r="392" ht="18.0" customHeight="1">
      <c r="D392" s="54"/>
      <c r="E392" s="55"/>
    </row>
    <row r="393" ht="18.0" customHeight="1">
      <c r="D393" s="54"/>
      <c r="E393" s="55"/>
    </row>
    <row r="394" ht="18.0" customHeight="1">
      <c r="D394" s="54"/>
      <c r="E394" s="55"/>
    </row>
    <row r="395" ht="18.0" customHeight="1">
      <c r="D395" s="54"/>
      <c r="E395" s="55"/>
    </row>
    <row r="396" ht="18.0" customHeight="1">
      <c r="D396" s="54"/>
      <c r="E396" s="55"/>
    </row>
    <row r="397" ht="18.0" customHeight="1">
      <c r="D397" s="54"/>
      <c r="E397" s="55"/>
    </row>
    <row r="398" ht="18.0" customHeight="1">
      <c r="D398" s="54"/>
      <c r="E398" s="55"/>
    </row>
    <row r="399" ht="18.0" customHeight="1">
      <c r="D399" s="54"/>
      <c r="E399" s="55"/>
    </row>
    <row r="400" ht="18.0" customHeight="1">
      <c r="D400" s="54"/>
      <c r="E400" s="55"/>
    </row>
    <row r="401" ht="18.0" customHeight="1">
      <c r="D401" s="54"/>
      <c r="E401" s="55"/>
    </row>
    <row r="402" ht="18.0" customHeight="1">
      <c r="D402" s="54"/>
      <c r="E402" s="55"/>
    </row>
    <row r="403" ht="18.0" customHeight="1">
      <c r="D403" s="54"/>
      <c r="E403" s="55"/>
    </row>
    <row r="404" ht="18.0" customHeight="1">
      <c r="D404" s="54"/>
      <c r="E404" s="55"/>
    </row>
    <row r="405" ht="18.0" customHeight="1">
      <c r="D405" s="54"/>
      <c r="E405" s="55"/>
    </row>
    <row r="406" ht="18.0" customHeight="1">
      <c r="D406" s="54"/>
      <c r="E406" s="55"/>
    </row>
    <row r="407" ht="18.0" customHeight="1">
      <c r="D407" s="54"/>
      <c r="E407" s="55"/>
    </row>
    <row r="408" ht="18.0" customHeight="1">
      <c r="D408" s="54"/>
      <c r="E408" s="55"/>
    </row>
    <row r="409" ht="18.0" customHeight="1">
      <c r="D409" s="54"/>
      <c r="E409" s="55"/>
    </row>
    <row r="410" ht="18.0" customHeight="1">
      <c r="D410" s="54"/>
      <c r="E410" s="55"/>
    </row>
    <row r="411" ht="18.0" customHeight="1">
      <c r="D411" s="54"/>
      <c r="E411" s="55"/>
    </row>
    <row r="412" ht="18.0" customHeight="1">
      <c r="D412" s="54"/>
      <c r="E412" s="55"/>
    </row>
    <row r="413" ht="18.0" customHeight="1">
      <c r="D413" s="54"/>
      <c r="E413" s="55"/>
    </row>
    <row r="414" ht="18.0" customHeight="1">
      <c r="D414" s="54"/>
      <c r="E414" s="55"/>
    </row>
    <row r="415" ht="18.0" customHeight="1">
      <c r="D415" s="54"/>
      <c r="E415" s="55"/>
    </row>
    <row r="416" ht="18.0" customHeight="1">
      <c r="D416" s="54"/>
      <c r="E416" s="55"/>
    </row>
    <row r="417" ht="18.0" customHeight="1">
      <c r="D417" s="54"/>
      <c r="E417" s="55"/>
    </row>
    <row r="418" ht="18.0" customHeight="1">
      <c r="D418" s="54"/>
      <c r="E418" s="55"/>
    </row>
    <row r="419" ht="18.0" customHeight="1">
      <c r="D419" s="54"/>
      <c r="E419" s="55"/>
    </row>
    <row r="420" ht="18.0" customHeight="1">
      <c r="D420" s="54"/>
      <c r="E420" s="55"/>
    </row>
    <row r="421" ht="18.0" customHeight="1">
      <c r="D421" s="54"/>
      <c r="E421" s="55"/>
    </row>
    <row r="422" ht="18.0" customHeight="1">
      <c r="D422" s="54"/>
      <c r="E422" s="55"/>
    </row>
    <row r="423" ht="18.0" customHeight="1">
      <c r="D423" s="54"/>
      <c r="E423" s="55"/>
    </row>
    <row r="424" ht="18.0" customHeight="1">
      <c r="D424" s="54"/>
      <c r="E424" s="55"/>
    </row>
    <row r="425" ht="18.0" customHeight="1">
      <c r="D425" s="54"/>
      <c r="E425" s="55"/>
    </row>
    <row r="426" ht="18.0" customHeight="1">
      <c r="D426" s="54"/>
      <c r="E426" s="55"/>
    </row>
    <row r="427" ht="18.0" customHeight="1">
      <c r="D427" s="54"/>
      <c r="E427" s="55"/>
    </row>
    <row r="428" ht="18.0" customHeight="1">
      <c r="D428" s="54"/>
      <c r="E428" s="55"/>
    </row>
    <row r="429" ht="18.0" customHeight="1">
      <c r="D429" s="54"/>
      <c r="E429" s="55"/>
    </row>
    <row r="430" ht="18.0" customHeight="1">
      <c r="D430" s="54"/>
      <c r="E430" s="55"/>
    </row>
    <row r="431" ht="18.0" customHeight="1">
      <c r="D431" s="54"/>
      <c r="E431" s="55"/>
    </row>
    <row r="432" ht="18.0" customHeight="1">
      <c r="D432" s="54"/>
      <c r="E432" s="55"/>
    </row>
    <row r="433" ht="18.0" customHeight="1">
      <c r="D433" s="54"/>
      <c r="E433" s="55"/>
    </row>
    <row r="434" ht="18.0" customHeight="1">
      <c r="D434" s="54"/>
      <c r="E434" s="55"/>
    </row>
    <row r="435" ht="18.0" customHeight="1">
      <c r="D435" s="54"/>
      <c r="E435" s="55"/>
    </row>
    <row r="436" ht="18.0" customHeight="1">
      <c r="D436" s="54"/>
      <c r="E436" s="55"/>
    </row>
    <row r="437" ht="18.0" customHeight="1">
      <c r="D437" s="54"/>
      <c r="E437" s="55"/>
    </row>
    <row r="438" ht="18.0" customHeight="1">
      <c r="D438" s="54"/>
      <c r="E438" s="55"/>
    </row>
    <row r="439" ht="18.0" customHeight="1">
      <c r="D439" s="54"/>
      <c r="E439" s="55"/>
    </row>
    <row r="440" ht="18.0" customHeight="1">
      <c r="D440" s="54"/>
      <c r="E440" s="55"/>
    </row>
    <row r="441" ht="18.0" customHeight="1">
      <c r="D441" s="54"/>
      <c r="E441" s="55"/>
    </row>
    <row r="442" ht="18.0" customHeight="1">
      <c r="D442" s="54"/>
      <c r="E442" s="55"/>
    </row>
    <row r="443" ht="18.0" customHeight="1">
      <c r="D443" s="54"/>
      <c r="E443" s="55"/>
    </row>
    <row r="444" ht="18.0" customHeight="1">
      <c r="D444" s="54"/>
      <c r="E444" s="55"/>
    </row>
    <row r="445" ht="18.0" customHeight="1">
      <c r="D445" s="54"/>
      <c r="E445" s="55"/>
    </row>
    <row r="446" ht="18.0" customHeight="1">
      <c r="D446" s="54"/>
      <c r="E446" s="55"/>
    </row>
    <row r="447" ht="18.0" customHeight="1">
      <c r="D447" s="54"/>
      <c r="E447" s="55"/>
    </row>
    <row r="448" ht="18.0" customHeight="1">
      <c r="D448" s="54"/>
      <c r="E448" s="55"/>
    </row>
    <row r="449" ht="18.0" customHeight="1">
      <c r="D449" s="54"/>
      <c r="E449" s="55"/>
    </row>
    <row r="450" ht="18.0" customHeight="1">
      <c r="D450" s="54"/>
      <c r="E450" s="55"/>
    </row>
    <row r="451" ht="18.0" customHeight="1">
      <c r="D451" s="54"/>
      <c r="E451" s="55"/>
    </row>
    <row r="452" ht="18.0" customHeight="1">
      <c r="D452" s="54"/>
      <c r="E452" s="55"/>
    </row>
    <row r="453" ht="18.0" customHeight="1">
      <c r="D453" s="54"/>
      <c r="E453" s="55"/>
    </row>
    <row r="454" ht="18.0" customHeight="1">
      <c r="D454" s="54"/>
      <c r="E454" s="55"/>
    </row>
    <row r="455" ht="18.0" customHeight="1">
      <c r="D455" s="54"/>
      <c r="E455" s="55"/>
    </row>
    <row r="456" ht="18.0" customHeight="1">
      <c r="D456" s="54"/>
      <c r="E456" s="55"/>
    </row>
    <row r="457" ht="18.0" customHeight="1">
      <c r="D457" s="54"/>
      <c r="E457" s="55"/>
    </row>
    <row r="458" ht="18.0" customHeight="1">
      <c r="D458" s="54"/>
      <c r="E458" s="55"/>
    </row>
    <row r="459" ht="18.0" customHeight="1">
      <c r="D459" s="54"/>
      <c r="E459" s="55"/>
    </row>
    <row r="460" ht="18.0" customHeight="1">
      <c r="D460" s="54"/>
      <c r="E460" s="55"/>
    </row>
    <row r="461" ht="18.0" customHeight="1">
      <c r="D461" s="54"/>
      <c r="E461" s="55"/>
    </row>
    <row r="462" ht="18.0" customHeight="1">
      <c r="D462" s="54"/>
      <c r="E462" s="55"/>
    </row>
    <row r="463" ht="18.0" customHeight="1">
      <c r="D463" s="54"/>
      <c r="E463" s="55"/>
    </row>
    <row r="464" ht="18.0" customHeight="1">
      <c r="D464" s="54"/>
      <c r="E464" s="55"/>
    </row>
    <row r="465" ht="18.0" customHeight="1">
      <c r="D465" s="54"/>
      <c r="E465" s="55"/>
    </row>
    <row r="466" ht="18.0" customHeight="1">
      <c r="D466" s="54"/>
      <c r="E466" s="55"/>
    </row>
    <row r="467" ht="18.0" customHeight="1">
      <c r="D467" s="54"/>
      <c r="E467" s="55"/>
    </row>
    <row r="468" ht="18.0" customHeight="1">
      <c r="D468" s="54"/>
      <c r="E468" s="55"/>
    </row>
    <row r="469" ht="18.0" customHeight="1">
      <c r="D469" s="54"/>
      <c r="E469" s="55"/>
    </row>
    <row r="470" ht="18.0" customHeight="1">
      <c r="D470" s="54"/>
      <c r="E470" s="55"/>
    </row>
    <row r="471" ht="18.0" customHeight="1">
      <c r="D471" s="54"/>
      <c r="E471" s="55"/>
    </row>
    <row r="472" ht="18.0" customHeight="1">
      <c r="D472" s="54"/>
      <c r="E472" s="55"/>
    </row>
    <row r="473" ht="18.0" customHeight="1">
      <c r="D473" s="54"/>
      <c r="E473" s="55"/>
    </row>
    <row r="474" ht="18.0" customHeight="1">
      <c r="D474" s="54"/>
      <c r="E474" s="55"/>
    </row>
    <row r="475" ht="18.0" customHeight="1">
      <c r="D475" s="54"/>
      <c r="E475" s="55"/>
    </row>
    <row r="476" ht="18.0" customHeight="1">
      <c r="D476" s="54"/>
      <c r="E476" s="55"/>
    </row>
    <row r="477" ht="18.0" customHeight="1">
      <c r="D477" s="54"/>
      <c r="E477" s="55"/>
    </row>
    <row r="478" ht="18.0" customHeight="1">
      <c r="D478" s="54"/>
      <c r="E478" s="55"/>
    </row>
    <row r="479" ht="18.0" customHeight="1">
      <c r="D479" s="54"/>
      <c r="E479" s="55"/>
    </row>
    <row r="480" ht="18.0" customHeight="1">
      <c r="D480" s="54"/>
      <c r="E480" s="55"/>
    </row>
    <row r="481" ht="18.0" customHeight="1">
      <c r="D481" s="54"/>
      <c r="E481" s="55"/>
    </row>
    <row r="482" ht="18.0" customHeight="1">
      <c r="D482" s="54"/>
      <c r="E482" s="55"/>
    </row>
    <row r="483" ht="18.0" customHeight="1">
      <c r="D483" s="54"/>
      <c r="E483" s="55"/>
    </row>
    <row r="484" ht="18.0" customHeight="1">
      <c r="D484" s="54"/>
      <c r="E484" s="55"/>
    </row>
    <row r="485" ht="18.0" customHeight="1">
      <c r="D485" s="54"/>
      <c r="E485" s="55"/>
    </row>
    <row r="486" ht="18.0" customHeight="1">
      <c r="D486" s="54"/>
      <c r="E486" s="55"/>
    </row>
    <row r="487" ht="18.0" customHeight="1">
      <c r="D487" s="54"/>
      <c r="E487" s="55"/>
    </row>
    <row r="488" ht="18.0" customHeight="1">
      <c r="D488" s="54"/>
      <c r="E488" s="55"/>
    </row>
    <row r="489" ht="18.0" customHeight="1">
      <c r="D489" s="54"/>
      <c r="E489" s="55"/>
    </row>
    <row r="490" ht="18.0" customHeight="1">
      <c r="D490" s="54"/>
      <c r="E490" s="55"/>
    </row>
    <row r="491" ht="18.0" customHeight="1">
      <c r="D491" s="54"/>
      <c r="E491" s="55"/>
    </row>
    <row r="492" ht="18.0" customHeight="1">
      <c r="D492" s="54"/>
      <c r="E492" s="55"/>
    </row>
    <row r="493" ht="18.0" customHeight="1">
      <c r="D493" s="54"/>
      <c r="E493" s="55"/>
    </row>
    <row r="494" ht="18.0" customHeight="1">
      <c r="D494" s="54"/>
      <c r="E494" s="55"/>
    </row>
    <row r="495" ht="18.0" customHeight="1">
      <c r="D495" s="54"/>
      <c r="E495" s="55"/>
    </row>
    <row r="496" ht="18.0" customHeight="1">
      <c r="D496" s="54"/>
      <c r="E496" s="55"/>
    </row>
    <row r="497" ht="18.0" customHeight="1">
      <c r="D497" s="54"/>
      <c r="E497" s="55"/>
    </row>
    <row r="498" ht="18.0" customHeight="1">
      <c r="D498" s="54"/>
      <c r="E498" s="55"/>
    </row>
    <row r="499" ht="18.0" customHeight="1">
      <c r="D499" s="54"/>
      <c r="E499" s="55"/>
    </row>
    <row r="500" ht="18.0" customHeight="1">
      <c r="D500" s="54"/>
      <c r="E500" s="55"/>
    </row>
    <row r="501" ht="18.0" customHeight="1">
      <c r="D501" s="54"/>
      <c r="E501" s="55"/>
    </row>
    <row r="502" ht="18.0" customHeight="1">
      <c r="D502" s="54"/>
      <c r="E502" s="55"/>
    </row>
    <row r="503" ht="18.0" customHeight="1">
      <c r="D503" s="54"/>
      <c r="E503" s="55"/>
    </row>
    <row r="504" ht="18.0" customHeight="1">
      <c r="D504" s="54"/>
      <c r="E504" s="55"/>
    </row>
    <row r="505" ht="18.0" customHeight="1">
      <c r="D505" s="54"/>
      <c r="E505" s="55"/>
    </row>
    <row r="506" ht="18.0" customHeight="1">
      <c r="D506" s="54"/>
      <c r="E506" s="55"/>
    </row>
    <row r="507" ht="18.0" customHeight="1">
      <c r="D507" s="54"/>
      <c r="E507" s="55"/>
    </row>
    <row r="508" ht="18.0" customHeight="1">
      <c r="D508" s="54"/>
      <c r="E508" s="55"/>
    </row>
    <row r="509" ht="18.0" customHeight="1">
      <c r="D509" s="54"/>
      <c r="E509" s="55"/>
    </row>
    <row r="510" ht="18.0" customHeight="1">
      <c r="D510" s="54"/>
      <c r="E510" s="55"/>
    </row>
    <row r="511" ht="18.0" customHeight="1">
      <c r="D511" s="54"/>
      <c r="E511" s="55"/>
    </row>
    <row r="512" ht="18.0" customHeight="1">
      <c r="D512" s="54"/>
      <c r="E512" s="55"/>
    </row>
    <row r="513" ht="18.0" customHeight="1">
      <c r="D513" s="54"/>
      <c r="E513" s="55"/>
    </row>
    <row r="514" ht="18.0" customHeight="1">
      <c r="D514" s="54"/>
      <c r="E514" s="55"/>
    </row>
    <row r="515" ht="18.0" customHeight="1">
      <c r="D515" s="54"/>
      <c r="E515" s="55"/>
    </row>
    <row r="516" ht="18.0" customHeight="1">
      <c r="D516" s="54"/>
      <c r="E516" s="55"/>
    </row>
    <row r="517" ht="18.0" customHeight="1">
      <c r="D517" s="54"/>
      <c r="E517" s="55"/>
    </row>
    <row r="518" ht="18.0" customHeight="1">
      <c r="D518" s="54"/>
      <c r="E518" s="55"/>
    </row>
    <row r="519" ht="18.0" customHeight="1">
      <c r="D519" s="54"/>
      <c r="E519" s="55"/>
    </row>
    <row r="520" ht="18.0" customHeight="1">
      <c r="D520" s="54"/>
      <c r="E520" s="55"/>
    </row>
    <row r="521" ht="18.0" customHeight="1">
      <c r="D521" s="54"/>
      <c r="E521" s="55"/>
    </row>
    <row r="522" ht="18.0" customHeight="1">
      <c r="D522" s="54"/>
      <c r="E522" s="55"/>
    </row>
    <row r="523" ht="18.0" customHeight="1">
      <c r="D523" s="54"/>
      <c r="E523" s="55"/>
    </row>
    <row r="524" ht="18.0" customHeight="1">
      <c r="D524" s="54"/>
      <c r="E524" s="55"/>
    </row>
    <row r="525" ht="18.0" customHeight="1">
      <c r="D525" s="54"/>
      <c r="E525" s="55"/>
    </row>
    <row r="526" ht="18.0" customHeight="1">
      <c r="D526" s="54"/>
      <c r="E526" s="55"/>
    </row>
    <row r="527" ht="18.0" customHeight="1">
      <c r="D527" s="54"/>
      <c r="E527" s="55"/>
    </row>
    <row r="528" ht="18.0" customHeight="1">
      <c r="D528" s="54"/>
      <c r="E528" s="55"/>
    </row>
    <row r="529" ht="18.0" customHeight="1">
      <c r="D529" s="54"/>
      <c r="E529" s="55"/>
    </row>
    <row r="530" ht="18.0" customHeight="1">
      <c r="D530" s="54"/>
      <c r="E530" s="55"/>
    </row>
    <row r="531" ht="18.0" customHeight="1">
      <c r="D531" s="54"/>
      <c r="E531" s="55"/>
    </row>
    <row r="532" ht="18.0" customHeight="1">
      <c r="D532" s="54"/>
      <c r="E532" s="55"/>
    </row>
    <row r="533" ht="18.0" customHeight="1">
      <c r="D533" s="54"/>
      <c r="E533" s="55"/>
    </row>
    <row r="534" ht="18.0" customHeight="1">
      <c r="D534" s="54"/>
      <c r="E534" s="55"/>
    </row>
    <row r="535" ht="18.0" customHeight="1">
      <c r="D535" s="54"/>
      <c r="E535" s="55"/>
    </row>
    <row r="536" ht="18.0" customHeight="1">
      <c r="D536" s="54"/>
      <c r="E536" s="55"/>
    </row>
    <row r="537" ht="18.0" customHeight="1">
      <c r="D537" s="54"/>
      <c r="E537" s="55"/>
    </row>
    <row r="538" ht="18.0" customHeight="1">
      <c r="D538" s="54"/>
      <c r="E538" s="55"/>
    </row>
    <row r="539" ht="18.0" customHeight="1">
      <c r="D539" s="54"/>
      <c r="E539" s="55"/>
    </row>
    <row r="540" ht="18.0" customHeight="1">
      <c r="D540" s="54"/>
      <c r="E540" s="55"/>
    </row>
    <row r="541" ht="18.0" customHeight="1">
      <c r="D541" s="54"/>
      <c r="E541" s="55"/>
    </row>
    <row r="542" ht="18.0" customHeight="1">
      <c r="D542" s="54"/>
      <c r="E542" s="55"/>
    </row>
    <row r="543" ht="18.0" customHeight="1">
      <c r="D543" s="54"/>
      <c r="E543" s="55"/>
    </row>
    <row r="544" ht="18.0" customHeight="1">
      <c r="D544" s="54"/>
      <c r="E544" s="55"/>
    </row>
    <row r="545" ht="18.0" customHeight="1">
      <c r="D545" s="54"/>
      <c r="E545" s="55"/>
    </row>
    <row r="546" ht="18.0" customHeight="1">
      <c r="D546" s="54"/>
      <c r="E546" s="55"/>
    </row>
    <row r="547" ht="18.0" customHeight="1">
      <c r="D547" s="54"/>
      <c r="E547" s="55"/>
    </row>
    <row r="548" ht="18.0" customHeight="1">
      <c r="D548" s="54"/>
      <c r="E548" s="55"/>
    </row>
    <row r="549" ht="18.0" customHeight="1">
      <c r="D549" s="54"/>
      <c r="E549" s="55"/>
    </row>
    <row r="550" ht="18.0" customHeight="1">
      <c r="D550" s="54"/>
      <c r="E550" s="55"/>
    </row>
    <row r="551" ht="18.0" customHeight="1">
      <c r="D551" s="54"/>
      <c r="E551" s="55"/>
    </row>
    <row r="552" ht="18.0" customHeight="1">
      <c r="D552" s="54"/>
      <c r="E552" s="55"/>
    </row>
    <row r="553" ht="18.0" customHeight="1">
      <c r="D553" s="54"/>
      <c r="E553" s="55"/>
    </row>
    <row r="554" ht="18.0" customHeight="1">
      <c r="D554" s="54"/>
      <c r="E554" s="55"/>
    </row>
    <row r="555" ht="18.0" customHeight="1">
      <c r="D555" s="54"/>
      <c r="E555" s="55"/>
    </row>
    <row r="556" ht="18.0" customHeight="1">
      <c r="D556" s="54"/>
      <c r="E556" s="55"/>
    </row>
    <row r="557" ht="18.0" customHeight="1">
      <c r="D557" s="54"/>
      <c r="E557" s="55"/>
    </row>
    <row r="558" ht="18.0" customHeight="1">
      <c r="D558" s="54"/>
      <c r="E558" s="55"/>
    </row>
    <row r="559" ht="18.0" customHeight="1">
      <c r="D559" s="54"/>
      <c r="E559" s="55"/>
    </row>
    <row r="560" ht="18.0" customHeight="1">
      <c r="D560" s="54"/>
      <c r="E560" s="55"/>
    </row>
    <row r="561" ht="18.0" customHeight="1">
      <c r="D561" s="54"/>
      <c r="E561" s="55"/>
    </row>
    <row r="562" ht="18.0" customHeight="1">
      <c r="D562" s="54"/>
      <c r="E562" s="55"/>
    </row>
    <row r="563" ht="18.0" customHeight="1">
      <c r="D563" s="54"/>
      <c r="E563" s="55"/>
    </row>
    <row r="564" ht="18.0" customHeight="1">
      <c r="D564" s="54"/>
      <c r="E564" s="55"/>
    </row>
    <row r="565" ht="18.0" customHeight="1">
      <c r="D565" s="54"/>
      <c r="E565" s="55"/>
    </row>
    <row r="566" ht="18.0" customHeight="1">
      <c r="D566" s="54"/>
      <c r="E566" s="55"/>
    </row>
    <row r="567" ht="18.0" customHeight="1">
      <c r="D567" s="54"/>
      <c r="E567" s="55"/>
    </row>
    <row r="568" ht="18.0" customHeight="1">
      <c r="D568" s="54"/>
      <c r="E568" s="55"/>
    </row>
    <row r="569" ht="18.0" customHeight="1">
      <c r="D569" s="54"/>
      <c r="E569" s="55"/>
    </row>
    <row r="570" ht="18.0" customHeight="1">
      <c r="D570" s="54"/>
      <c r="E570" s="55"/>
    </row>
    <row r="571" ht="18.0" customHeight="1">
      <c r="D571" s="54"/>
      <c r="E571" s="55"/>
    </row>
    <row r="572" ht="18.0" customHeight="1">
      <c r="D572" s="54"/>
      <c r="E572" s="55"/>
    </row>
    <row r="573" ht="18.0" customHeight="1">
      <c r="D573" s="54"/>
      <c r="E573" s="55"/>
    </row>
    <row r="574" ht="18.0" customHeight="1">
      <c r="D574" s="54"/>
      <c r="E574" s="55"/>
    </row>
    <row r="575" ht="18.0" customHeight="1">
      <c r="D575" s="54"/>
      <c r="E575" s="55"/>
    </row>
    <row r="576" ht="18.0" customHeight="1">
      <c r="D576" s="54"/>
      <c r="E576" s="55"/>
    </row>
    <row r="577" ht="18.0" customHeight="1">
      <c r="D577" s="54"/>
      <c r="E577" s="55"/>
    </row>
    <row r="578" ht="18.0" customHeight="1">
      <c r="D578" s="54"/>
      <c r="E578" s="55"/>
    </row>
    <row r="579" ht="18.0" customHeight="1">
      <c r="D579" s="54"/>
      <c r="E579" s="55"/>
    </row>
    <row r="580" ht="18.0" customHeight="1">
      <c r="D580" s="54"/>
      <c r="E580" s="55"/>
    </row>
    <row r="581" ht="18.0" customHeight="1">
      <c r="D581" s="54"/>
      <c r="E581" s="55"/>
    </row>
    <row r="582" ht="18.0" customHeight="1">
      <c r="D582" s="54"/>
      <c r="E582" s="55"/>
    </row>
    <row r="583" ht="18.0" customHeight="1">
      <c r="D583" s="54"/>
      <c r="E583" s="55"/>
    </row>
    <row r="584" ht="18.0" customHeight="1">
      <c r="D584" s="54"/>
      <c r="E584" s="55"/>
    </row>
    <row r="585" ht="18.0" customHeight="1">
      <c r="D585" s="54"/>
      <c r="E585" s="55"/>
    </row>
    <row r="586" ht="18.0" customHeight="1">
      <c r="D586" s="54"/>
      <c r="E586" s="55"/>
    </row>
    <row r="587" ht="18.0" customHeight="1">
      <c r="D587" s="54"/>
      <c r="E587" s="55"/>
    </row>
    <row r="588" ht="18.0" customHeight="1">
      <c r="D588" s="54"/>
      <c r="E588" s="55"/>
    </row>
    <row r="589" ht="18.0" customHeight="1">
      <c r="D589" s="54"/>
      <c r="E589" s="55"/>
    </row>
    <row r="590" ht="18.0" customHeight="1">
      <c r="D590" s="54"/>
      <c r="E590" s="55"/>
    </row>
    <row r="591" ht="18.0" customHeight="1">
      <c r="D591" s="54"/>
      <c r="E591" s="55"/>
    </row>
    <row r="592" ht="18.0" customHeight="1">
      <c r="D592" s="54"/>
      <c r="E592" s="55"/>
    </row>
    <row r="593" ht="18.0" customHeight="1">
      <c r="D593" s="54"/>
      <c r="E593" s="55"/>
    </row>
    <row r="594" ht="18.0" customHeight="1">
      <c r="D594" s="54"/>
      <c r="E594" s="55"/>
    </row>
    <row r="595" ht="18.0" customHeight="1">
      <c r="D595" s="54"/>
      <c r="E595" s="55"/>
    </row>
    <row r="596" ht="18.0" customHeight="1">
      <c r="D596" s="54"/>
      <c r="E596" s="55"/>
    </row>
    <row r="597" ht="18.0" customHeight="1">
      <c r="D597" s="54"/>
      <c r="E597" s="55"/>
    </row>
    <row r="598" ht="18.0" customHeight="1">
      <c r="D598" s="54"/>
      <c r="E598" s="55"/>
    </row>
    <row r="599" ht="18.0" customHeight="1">
      <c r="D599" s="54"/>
      <c r="E599" s="55"/>
    </row>
    <row r="600" ht="18.0" customHeight="1">
      <c r="D600" s="54"/>
      <c r="E600" s="55"/>
    </row>
    <row r="601" ht="18.0" customHeight="1">
      <c r="D601" s="54"/>
      <c r="E601" s="55"/>
    </row>
    <row r="602" ht="18.0" customHeight="1">
      <c r="D602" s="54"/>
      <c r="E602" s="55"/>
    </row>
    <row r="603" ht="18.0" customHeight="1">
      <c r="D603" s="54"/>
      <c r="E603" s="55"/>
    </row>
    <row r="604" ht="18.0" customHeight="1">
      <c r="D604" s="54"/>
      <c r="E604" s="55"/>
    </row>
    <row r="605" ht="18.0" customHeight="1">
      <c r="D605" s="54"/>
      <c r="E605" s="55"/>
    </row>
    <row r="606" ht="18.0" customHeight="1">
      <c r="D606" s="54"/>
      <c r="E606" s="55"/>
    </row>
    <row r="607" ht="18.0" customHeight="1">
      <c r="D607" s="54"/>
      <c r="E607" s="55"/>
    </row>
    <row r="608" ht="18.0" customHeight="1">
      <c r="D608" s="54"/>
      <c r="E608" s="55"/>
    </row>
    <row r="609" ht="18.0" customHeight="1">
      <c r="D609" s="54"/>
      <c r="E609" s="55"/>
    </row>
    <row r="610" ht="18.0" customHeight="1">
      <c r="D610" s="54"/>
      <c r="E610" s="55"/>
    </row>
    <row r="611" ht="18.0" customHeight="1">
      <c r="D611" s="54"/>
      <c r="E611" s="55"/>
    </row>
    <row r="612" ht="18.0" customHeight="1">
      <c r="D612" s="54"/>
      <c r="E612" s="55"/>
    </row>
    <row r="613" ht="18.0" customHeight="1">
      <c r="D613" s="54"/>
      <c r="E613" s="55"/>
    </row>
    <row r="614" ht="18.0" customHeight="1">
      <c r="D614" s="54"/>
      <c r="E614" s="55"/>
    </row>
    <row r="615" ht="18.0" customHeight="1">
      <c r="D615" s="54"/>
      <c r="E615" s="55"/>
    </row>
    <row r="616" ht="18.0" customHeight="1">
      <c r="D616" s="54"/>
      <c r="E616" s="55"/>
    </row>
    <row r="617" ht="18.0" customHeight="1">
      <c r="D617" s="54"/>
      <c r="E617" s="55"/>
    </row>
    <row r="618" ht="18.0" customHeight="1">
      <c r="D618" s="54"/>
      <c r="E618" s="55"/>
    </row>
    <row r="619" ht="18.0" customHeight="1">
      <c r="D619" s="54"/>
      <c r="E619" s="55"/>
    </row>
    <row r="620" ht="18.0" customHeight="1">
      <c r="D620" s="54"/>
      <c r="E620" s="55"/>
    </row>
    <row r="621" ht="18.0" customHeight="1">
      <c r="D621" s="54"/>
      <c r="E621" s="55"/>
    </row>
    <row r="622" ht="18.0" customHeight="1">
      <c r="D622" s="54"/>
      <c r="E622" s="55"/>
    </row>
    <row r="623" ht="18.0" customHeight="1">
      <c r="D623" s="54"/>
      <c r="E623" s="55"/>
    </row>
    <row r="624" ht="18.0" customHeight="1">
      <c r="D624" s="54"/>
      <c r="E624" s="55"/>
    </row>
    <row r="625" ht="18.0" customHeight="1">
      <c r="D625" s="54"/>
      <c r="E625" s="55"/>
    </row>
    <row r="626" ht="18.0" customHeight="1">
      <c r="D626" s="54"/>
      <c r="E626" s="55"/>
    </row>
    <row r="627" ht="18.0" customHeight="1">
      <c r="D627" s="54"/>
      <c r="E627" s="55"/>
    </row>
    <row r="628" ht="18.0" customHeight="1">
      <c r="D628" s="54"/>
      <c r="E628" s="55"/>
    </row>
    <row r="629" ht="18.0" customHeight="1">
      <c r="D629" s="54"/>
      <c r="E629" s="55"/>
    </row>
    <row r="630" ht="18.0" customHeight="1">
      <c r="D630" s="54"/>
      <c r="E630" s="55"/>
    </row>
    <row r="631" ht="18.0" customHeight="1">
      <c r="D631" s="54"/>
      <c r="E631" s="55"/>
    </row>
    <row r="632" ht="18.0" customHeight="1">
      <c r="D632" s="54"/>
      <c r="E632" s="55"/>
    </row>
    <row r="633" ht="18.0" customHeight="1">
      <c r="D633" s="54"/>
      <c r="E633" s="55"/>
    </row>
    <row r="634" ht="18.0" customHeight="1">
      <c r="D634" s="54"/>
      <c r="E634" s="55"/>
    </row>
    <row r="635" ht="18.0" customHeight="1">
      <c r="D635" s="54"/>
      <c r="E635" s="55"/>
    </row>
    <row r="636" ht="18.0" customHeight="1">
      <c r="D636" s="54"/>
      <c r="E636" s="55"/>
    </row>
    <row r="637" ht="18.0" customHeight="1">
      <c r="D637" s="54"/>
      <c r="E637" s="55"/>
    </row>
    <row r="638" ht="18.0" customHeight="1">
      <c r="D638" s="54"/>
      <c r="E638" s="55"/>
    </row>
    <row r="639" ht="18.0" customHeight="1">
      <c r="D639" s="54"/>
      <c r="E639" s="55"/>
    </row>
    <row r="640" ht="18.0" customHeight="1">
      <c r="D640" s="54"/>
      <c r="E640" s="55"/>
    </row>
    <row r="641" ht="18.0" customHeight="1">
      <c r="D641" s="54"/>
      <c r="E641" s="55"/>
    </row>
    <row r="642" ht="18.0" customHeight="1">
      <c r="D642" s="54"/>
      <c r="E642" s="55"/>
    </row>
    <row r="643" ht="18.0" customHeight="1">
      <c r="D643" s="54"/>
      <c r="E643" s="55"/>
    </row>
    <row r="644" ht="18.0" customHeight="1">
      <c r="D644" s="54"/>
      <c r="E644" s="55"/>
    </row>
    <row r="645" ht="18.0" customHeight="1">
      <c r="D645" s="54"/>
      <c r="E645" s="55"/>
    </row>
    <row r="646" ht="18.0" customHeight="1">
      <c r="D646" s="54"/>
      <c r="E646" s="55"/>
    </row>
    <row r="647" ht="18.0" customHeight="1">
      <c r="D647" s="54"/>
      <c r="E647" s="55"/>
    </row>
    <row r="648" ht="18.0" customHeight="1">
      <c r="D648" s="54"/>
      <c r="E648" s="55"/>
    </row>
    <row r="649" ht="18.0" customHeight="1">
      <c r="D649" s="54"/>
      <c r="E649" s="55"/>
    </row>
    <row r="650" ht="18.0" customHeight="1">
      <c r="D650" s="54"/>
      <c r="E650" s="55"/>
    </row>
    <row r="651" ht="18.0" customHeight="1">
      <c r="D651" s="54"/>
      <c r="E651" s="55"/>
    </row>
    <row r="652" ht="18.0" customHeight="1">
      <c r="D652" s="54"/>
      <c r="E652" s="55"/>
    </row>
    <row r="653" ht="18.0" customHeight="1">
      <c r="D653" s="54"/>
      <c r="E653" s="55"/>
    </row>
    <row r="654" ht="18.0" customHeight="1">
      <c r="D654" s="54"/>
      <c r="E654" s="55"/>
    </row>
    <row r="655" ht="18.0" customHeight="1">
      <c r="D655" s="54"/>
      <c r="E655" s="55"/>
    </row>
    <row r="656" ht="18.0" customHeight="1">
      <c r="D656" s="54"/>
      <c r="E656" s="55"/>
    </row>
    <row r="657" ht="18.0" customHeight="1">
      <c r="D657" s="54"/>
      <c r="E657" s="55"/>
    </row>
    <row r="658" ht="18.0" customHeight="1">
      <c r="D658" s="54"/>
      <c r="E658" s="55"/>
    </row>
    <row r="659" ht="18.0" customHeight="1">
      <c r="D659" s="54"/>
      <c r="E659" s="55"/>
    </row>
    <row r="660" ht="18.0" customHeight="1">
      <c r="D660" s="54"/>
      <c r="E660" s="55"/>
    </row>
    <row r="661" ht="18.0" customHeight="1">
      <c r="D661" s="54"/>
      <c r="E661" s="55"/>
    </row>
    <row r="662" ht="18.0" customHeight="1">
      <c r="D662" s="54"/>
      <c r="E662" s="55"/>
    </row>
    <row r="663" ht="18.0" customHeight="1">
      <c r="D663" s="54"/>
      <c r="E663" s="55"/>
    </row>
    <row r="664" ht="18.0" customHeight="1">
      <c r="D664" s="54"/>
      <c r="E664" s="55"/>
    </row>
    <row r="665" ht="18.0" customHeight="1">
      <c r="D665" s="54"/>
      <c r="E665" s="55"/>
    </row>
    <row r="666" ht="18.0" customHeight="1">
      <c r="D666" s="54"/>
      <c r="E666" s="55"/>
    </row>
    <row r="667" ht="18.0" customHeight="1">
      <c r="D667" s="54"/>
      <c r="E667" s="55"/>
    </row>
    <row r="668" ht="18.0" customHeight="1">
      <c r="D668" s="54"/>
      <c r="E668" s="55"/>
    </row>
    <row r="669" ht="18.0" customHeight="1">
      <c r="D669" s="54"/>
      <c r="E669" s="55"/>
    </row>
    <row r="670" ht="18.0" customHeight="1">
      <c r="D670" s="54"/>
      <c r="E670" s="55"/>
    </row>
    <row r="671" ht="18.0" customHeight="1">
      <c r="D671" s="54"/>
      <c r="E671" s="55"/>
    </row>
    <row r="672" ht="18.0" customHeight="1">
      <c r="D672" s="54"/>
      <c r="E672" s="55"/>
    </row>
    <row r="673" ht="18.0" customHeight="1">
      <c r="D673" s="54"/>
      <c r="E673" s="55"/>
    </row>
    <row r="674" ht="18.0" customHeight="1">
      <c r="D674" s="54"/>
      <c r="E674" s="55"/>
    </row>
    <row r="675" ht="18.0" customHeight="1">
      <c r="D675" s="54"/>
      <c r="E675" s="55"/>
    </row>
    <row r="676" ht="18.0" customHeight="1">
      <c r="D676" s="54"/>
      <c r="E676" s="55"/>
    </row>
    <row r="677" ht="18.0" customHeight="1">
      <c r="D677" s="54"/>
      <c r="E677" s="55"/>
    </row>
    <row r="678" ht="18.0" customHeight="1">
      <c r="D678" s="54"/>
      <c r="E678" s="55"/>
    </row>
    <row r="679" ht="18.0" customHeight="1">
      <c r="D679" s="54"/>
      <c r="E679" s="55"/>
    </row>
    <row r="680" ht="18.0" customHeight="1">
      <c r="D680" s="54"/>
      <c r="E680" s="55"/>
    </row>
    <row r="681" ht="18.0" customHeight="1">
      <c r="D681" s="54"/>
      <c r="E681" s="55"/>
    </row>
    <row r="682" ht="18.0" customHeight="1">
      <c r="D682" s="54"/>
      <c r="E682" s="55"/>
    </row>
    <row r="683" ht="18.0" customHeight="1">
      <c r="D683" s="54"/>
      <c r="E683" s="55"/>
    </row>
    <row r="684" ht="18.0" customHeight="1">
      <c r="D684" s="54"/>
      <c r="E684" s="55"/>
    </row>
    <row r="685" ht="18.0" customHeight="1">
      <c r="D685" s="54"/>
      <c r="E685" s="55"/>
    </row>
    <row r="686" ht="18.0" customHeight="1">
      <c r="D686" s="54"/>
      <c r="E686" s="55"/>
    </row>
    <row r="687" ht="18.0" customHeight="1">
      <c r="D687" s="54"/>
      <c r="E687" s="55"/>
    </row>
    <row r="688" ht="18.0" customHeight="1">
      <c r="D688" s="54"/>
      <c r="E688" s="55"/>
    </row>
    <row r="689" ht="18.0" customHeight="1">
      <c r="D689" s="54"/>
      <c r="E689" s="55"/>
    </row>
    <row r="690" ht="18.0" customHeight="1">
      <c r="D690" s="54"/>
      <c r="E690" s="55"/>
    </row>
    <row r="691" ht="18.0" customHeight="1">
      <c r="D691" s="54"/>
      <c r="E691" s="55"/>
    </row>
    <row r="692" ht="18.0" customHeight="1">
      <c r="D692" s="54"/>
      <c r="E692" s="55"/>
    </row>
    <row r="693" ht="18.0" customHeight="1">
      <c r="D693" s="54"/>
      <c r="E693" s="55"/>
    </row>
    <row r="694" ht="18.0" customHeight="1">
      <c r="D694" s="54"/>
      <c r="E694" s="55"/>
    </row>
    <row r="695" ht="18.0" customHeight="1">
      <c r="D695" s="54"/>
      <c r="E695" s="55"/>
    </row>
    <row r="696" ht="18.0" customHeight="1">
      <c r="D696" s="54"/>
      <c r="E696" s="55"/>
    </row>
    <row r="697" ht="18.0" customHeight="1">
      <c r="D697" s="54"/>
      <c r="E697" s="55"/>
    </row>
    <row r="698" ht="18.0" customHeight="1">
      <c r="D698" s="54"/>
      <c r="E698" s="55"/>
    </row>
    <row r="699" ht="18.0" customHeight="1">
      <c r="D699" s="54"/>
      <c r="E699" s="55"/>
    </row>
    <row r="700" ht="18.0" customHeight="1">
      <c r="D700" s="54"/>
      <c r="E700" s="55"/>
    </row>
    <row r="701" ht="18.0" customHeight="1">
      <c r="D701" s="54"/>
      <c r="E701" s="55"/>
    </row>
    <row r="702" ht="18.0" customHeight="1">
      <c r="D702" s="54"/>
      <c r="E702" s="55"/>
    </row>
    <row r="703" ht="18.0" customHeight="1">
      <c r="D703" s="54"/>
      <c r="E703" s="55"/>
    </row>
    <row r="704" ht="18.0" customHeight="1">
      <c r="D704" s="54"/>
      <c r="E704" s="55"/>
    </row>
    <row r="705" ht="18.0" customHeight="1">
      <c r="D705" s="54"/>
      <c r="E705" s="55"/>
    </row>
    <row r="706" ht="18.0" customHeight="1">
      <c r="D706" s="54"/>
      <c r="E706" s="55"/>
    </row>
    <row r="707" ht="18.0" customHeight="1">
      <c r="D707" s="54"/>
      <c r="E707" s="55"/>
    </row>
    <row r="708" ht="18.0" customHeight="1">
      <c r="D708" s="54"/>
      <c r="E708" s="55"/>
    </row>
    <row r="709" ht="18.0" customHeight="1">
      <c r="D709" s="54"/>
      <c r="E709" s="55"/>
    </row>
    <row r="710" ht="18.0" customHeight="1">
      <c r="D710" s="54"/>
      <c r="E710" s="55"/>
    </row>
    <row r="711" ht="18.0" customHeight="1">
      <c r="D711" s="54"/>
      <c r="E711" s="55"/>
    </row>
    <row r="712" ht="18.0" customHeight="1">
      <c r="D712" s="54"/>
      <c r="E712" s="55"/>
    </row>
    <row r="713" ht="18.0" customHeight="1">
      <c r="D713" s="54"/>
      <c r="E713" s="55"/>
    </row>
    <row r="714" ht="18.0" customHeight="1">
      <c r="D714" s="54"/>
      <c r="E714" s="55"/>
    </row>
    <row r="715" ht="18.0" customHeight="1">
      <c r="D715" s="54"/>
      <c r="E715" s="55"/>
    </row>
    <row r="716" ht="18.0" customHeight="1">
      <c r="D716" s="54"/>
      <c r="E716" s="55"/>
    </row>
    <row r="717" ht="18.0" customHeight="1">
      <c r="D717" s="54"/>
      <c r="E717" s="55"/>
    </row>
    <row r="718" ht="18.0" customHeight="1">
      <c r="D718" s="54"/>
      <c r="E718" s="55"/>
    </row>
    <row r="719" ht="18.0" customHeight="1">
      <c r="D719" s="54"/>
      <c r="E719" s="55"/>
    </row>
    <row r="720" ht="18.0" customHeight="1">
      <c r="D720" s="54"/>
      <c r="E720" s="55"/>
    </row>
    <row r="721" ht="18.0" customHeight="1">
      <c r="D721" s="54"/>
      <c r="E721" s="55"/>
    </row>
    <row r="722" ht="18.0" customHeight="1">
      <c r="D722" s="54"/>
      <c r="E722" s="55"/>
    </row>
    <row r="723" ht="18.0" customHeight="1">
      <c r="D723" s="54"/>
      <c r="E723" s="55"/>
    </row>
    <row r="724" ht="18.0" customHeight="1">
      <c r="D724" s="54"/>
      <c r="E724" s="55"/>
    </row>
    <row r="725" ht="18.0" customHeight="1">
      <c r="D725" s="54"/>
      <c r="E725" s="55"/>
    </row>
    <row r="726" ht="18.0" customHeight="1">
      <c r="D726" s="54"/>
      <c r="E726" s="55"/>
    </row>
    <row r="727" ht="18.0" customHeight="1">
      <c r="D727" s="54"/>
      <c r="E727" s="55"/>
    </row>
    <row r="728" ht="18.0" customHeight="1">
      <c r="D728" s="54"/>
      <c r="E728" s="55"/>
    </row>
    <row r="729" ht="18.0" customHeight="1">
      <c r="D729" s="54"/>
      <c r="E729" s="55"/>
    </row>
    <row r="730" ht="18.0" customHeight="1">
      <c r="D730" s="54"/>
      <c r="E730" s="55"/>
    </row>
    <row r="731" ht="18.0" customHeight="1">
      <c r="D731" s="54"/>
      <c r="E731" s="55"/>
    </row>
    <row r="732" ht="18.0" customHeight="1">
      <c r="D732" s="54"/>
      <c r="E732" s="55"/>
    </row>
    <row r="733" ht="18.0" customHeight="1">
      <c r="D733" s="54"/>
      <c r="E733" s="55"/>
    </row>
    <row r="734" ht="18.0" customHeight="1">
      <c r="D734" s="54"/>
      <c r="E734" s="55"/>
    </row>
    <row r="735" ht="18.0" customHeight="1">
      <c r="D735" s="54"/>
      <c r="E735" s="55"/>
    </row>
    <row r="736" ht="18.0" customHeight="1">
      <c r="D736" s="54"/>
      <c r="E736" s="55"/>
    </row>
    <row r="737" ht="18.0" customHeight="1">
      <c r="D737" s="54"/>
      <c r="E737" s="55"/>
    </row>
    <row r="738" ht="18.0" customHeight="1">
      <c r="D738" s="54"/>
      <c r="E738" s="55"/>
    </row>
    <row r="739" ht="18.0" customHeight="1">
      <c r="D739" s="54"/>
      <c r="E739" s="55"/>
    </row>
    <row r="740" ht="18.0" customHeight="1">
      <c r="D740" s="54"/>
      <c r="E740" s="55"/>
    </row>
    <row r="741" ht="18.0" customHeight="1">
      <c r="D741" s="54"/>
      <c r="E741" s="55"/>
    </row>
    <row r="742" ht="18.0" customHeight="1">
      <c r="D742" s="54"/>
      <c r="E742" s="55"/>
    </row>
    <row r="743" ht="18.0" customHeight="1">
      <c r="D743" s="54"/>
      <c r="E743" s="55"/>
    </row>
    <row r="744" ht="18.0" customHeight="1">
      <c r="D744" s="54"/>
      <c r="E744" s="55"/>
    </row>
    <row r="745" ht="18.0" customHeight="1">
      <c r="D745" s="54"/>
      <c r="E745" s="55"/>
    </row>
    <row r="746" ht="18.0" customHeight="1">
      <c r="D746" s="54"/>
      <c r="E746" s="55"/>
    </row>
    <row r="747" ht="18.0" customHeight="1">
      <c r="D747" s="54"/>
      <c r="E747" s="55"/>
    </row>
    <row r="748" ht="18.0" customHeight="1">
      <c r="D748" s="54"/>
      <c r="E748" s="55"/>
    </row>
    <row r="749" ht="18.0" customHeight="1">
      <c r="D749" s="54"/>
      <c r="E749" s="55"/>
    </row>
    <row r="750" ht="18.0" customHeight="1">
      <c r="D750" s="54"/>
      <c r="E750" s="55"/>
    </row>
    <row r="751" ht="18.0" customHeight="1">
      <c r="D751" s="54"/>
      <c r="E751" s="55"/>
    </row>
    <row r="752" ht="18.0" customHeight="1">
      <c r="D752" s="54"/>
      <c r="E752" s="55"/>
    </row>
    <row r="753" ht="18.0" customHeight="1">
      <c r="D753" s="54"/>
      <c r="E753" s="55"/>
    </row>
    <row r="754" ht="18.0" customHeight="1">
      <c r="D754" s="54"/>
      <c r="E754" s="55"/>
    </row>
    <row r="755" ht="18.0" customHeight="1">
      <c r="D755" s="54"/>
      <c r="E755" s="55"/>
    </row>
    <row r="756" ht="18.0" customHeight="1">
      <c r="D756" s="54"/>
      <c r="E756" s="55"/>
    </row>
    <row r="757" ht="18.0" customHeight="1">
      <c r="D757" s="54"/>
      <c r="E757" s="55"/>
    </row>
    <row r="758" ht="18.0" customHeight="1">
      <c r="D758" s="54"/>
      <c r="E758" s="55"/>
    </row>
    <row r="759" ht="18.0" customHeight="1">
      <c r="D759" s="54"/>
      <c r="E759" s="55"/>
    </row>
    <row r="760" ht="18.0" customHeight="1">
      <c r="D760" s="54"/>
      <c r="E760" s="55"/>
    </row>
    <row r="761" ht="18.0" customHeight="1">
      <c r="D761" s="54"/>
      <c r="E761" s="55"/>
    </row>
    <row r="762" ht="18.0" customHeight="1">
      <c r="D762" s="54"/>
      <c r="E762" s="55"/>
    </row>
    <row r="763" ht="18.0" customHeight="1">
      <c r="D763" s="54"/>
      <c r="E763" s="55"/>
    </row>
    <row r="764" ht="18.0" customHeight="1">
      <c r="D764" s="54"/>
      <c r="E764" s="55"/>
    </row>
    <row r="765" ht="18.0" customHeight="1">
      <c r="D765" s="54"/>
      <c r="E765" s="55"/>
    </row>
    <row r="766" ht="18.0" customHeight="1">
      <c r="D766" s="54"/>
      <c r="E766" s="55"/>
    </row>
    <row r="767" ht="18.0" customHeight="1">
      <c r="D767" s="54"/>
      <c r="E767" s="55"/>
    </row>
    <row r="768" ht="18.0" customHeight="1">
      <c r="D768" s="54"/>
      <c r="E768" s="55"/>
    </row>
    <row r="769" ht="18.0" customHeight="1">
      <c r="D769" s="54"/>
      <c r="E769" s="55"/>
    </row>
    <row r="770" ht="18.0" customHeight="1">
      <c r="D770" s="54"/>
      <c r="E770" s="55"/>
    </row>
    <row r="771" ht="18.0" customHeight="1">
      <c r="D771" s="54"/>
      <c r="E771" s="55"/>
    </row>
    <row r="772" ht="18.0" customHeight="1">
      <c r="D772" s="54"/>
      <c r="E772" s="55"/>
    </row>
    <row r="773" ht="18.0" customHeight="1">
      <c r="D773" s="54"/>
      <c r="E773" s="55"/>
    </row>
    <row r="774" ht="18.0" customHeight="1">
      <c r="D774" s="54"/>
      <c r="E774" s="55"/>
    </row>
    <row r="775" ht="18.0" customHeight="1">
      <c r="D775" s="54"/>
      <c r="E775" s="55"/>
    </row>
    <row r="776" ht="18.0" customHeight="1">
      <c r="D776" s="54"/>
      <c r="E776" s="55"/>
    </row>
    <row r="777" ht="18.0" customHeight="1">
      <c r="D777" s="54"/>
      <c r="E777" s="55"/>
    </row>
    <row r="778" ht="18.0" customHeight="1">
      <c r="D778" s="54"/>
      <c r="E778" s="55"/>
    </row>
    <row r="779" ht="18.0" customHeight="1">
      <c r="D779" s="54"/>
      <c r="E779" s="55"/>
    </row>
    <row r="780" ht="18.0" customHeight="1">
      <c r="D780" s="54"/>
      <c r="E780" s="55"/>
    </row>
    <row r="781" ht="18.0" customHeight="1">
      <c r="D781" s="54"/>
      <c r="E781" s="55"/>
    </row>
    <row r="782" ht="18.0" customHeight="1">
      <c r="D782" s="54"/>
      <c r="E782" s="55"/>
    </row>
    <row r="783" ht="18.0" customHeight="1">
      <c r="D783" s="54"/>
      <c r="E783" s="55"/>
    </row>
    <row r="784" ht="18.0" customHeight="1">
      <c r="D784" s="54"/>
      <c r="E784" s="55"/>
    </row>
    <row r="785" ht="18.0" customHeight="1">
      <c r="D785" s="54"/>
      <c r="E785" s="55"/>
    </row>
    <row r="786" ht="18.0" customHeight="1">
      <c r="D786" s="54"/>
      <c r="E786" s="55"/>
    </row>
    <row r="787" ht="18.0" customHeight="1">
      <c r="D787" s="54"/>
      <c r="E787" s="55"/>
    </row>
    <row r="788" ht="18.0" customHeight="1">
      <c r="D788" s="54"/>
      <c r="E788" s="55"/>
    </row>
    <row r="789" ht="18.0" customHeight="1">
      <c r="D789" s="54"/>
      <c r="E789" s="55"/>
    </row>
    <row r="790" ht="18.0" customHeight="1">
      <c r="D790" s="54"/>
      <c r="E790" s="55"/>
    </row>
    <row r="791" ht="18.0" customHeight="1">
      <c r="D791" s="54"/>
      <c r="E791" s="55"/>
    </row>
    <row r="792" ht="18.0" customHeight="1">
      <c r="D792" s="54"/>
      <c r="E792" s="55"/>
    </row>
    <row r="793" ht="18.0" customHeight="1">
      <c r="D793" s="54"/>
      <c r="E793" s="55"/>
    </row>
    <row r="794" ht="18.0" customHeight="1">
      <c r="D794" s="54"/>
      <c r="E794" s="55"/>
    </row>
    <row r="795" ht="18.0" customHeight="1">
      <c r="D795" s="54"/>
      <c r="E795" s="55"/>
    </row>
    <row r="796" ht="18.0" customHeight="1">
      <c r="D796" s="54"/>
      <c r="E796" s="55"/>
    </row>
    <row r="797" ht="18.0" customHeight="1">
      <c r="D797" s="54"/>
      <c r="E797" s="55"/>
    </row>
    <row r="798" ht="18.0" customHeight="1">
      <c r="D798" s="54"/>
      <c r="E798" s="55"/>
    </row>
    <row r="799" ht="18.0" customHeight="1">
      <c r="D799" s="54"/>
      <c r="E799" s="55"/>
    </row>
    <row r="800" ht="18.0" customHeight="1">
      <c r="D800" s="54"/>
      <c r="E800" s="55"/>
    </row>
    <row r="801" ht="18.0" customHeight="1">
      <c r="D801" s="54"/>
      <c r="E801" s="55"/>
    </row>
    <row r="802" ht="18.0" customHeight="1">
      <c r="D802" s="54"/>
      <c r="E802" s="55"/>
    </row>
    <row r="803" ht="18.0" customHeight="1">
      <c r="D803" s="54"/>
      <c r="E803" s="55"/>
    </row>
    <row r="804" ht="18.0" customHeight="1">
      <c r="D804" s="54"/>
      <c r="E804" s="55"/>
    </row>
    <row r="805" ht="18.0" customHeight="1">
      <c r="D805" s="54"/>
      <c r="E805" s="55"/>
    </row>
    <row r="806" ht="18.0" customHeight="1">
      <c r="D806" s="54"/>
      <c r="E806" s="55"/>
    </row>
    <row r="807" ht="18.0" customHeight="1">
      <c r="D807" s="54"/>
      <c r="E807" s="55"/>
    </row>
    <row r="808" ht="18.0" customHeight="1">
      <c r="D808" s="54"/>
      <c r="E808" s="55"/>
    </row>
    <row r="809" ht="18.0" customHeight="1">
      <c r="D809" s="54"/>
      <c r="E809" s="55"/>
    </row>
    <row r="810" ht="18.0" customHeight="1">
      <c r="D810" s="54"/>
      <c r="E810" s="55"/>
    </row>
    <row r="811" ht="18.0" customHeight="1">
      <c r="D811" s="54"/>
      <c r="E811" s="55"/>
    </row>
    <row r="812" ht="18.0" customHeight="1">
      <c r="D812" s="54"/>
      <c r="E812" s="55"/>
    </row>
    <row r="813" ht="18.0" customHeight="1">
      <c r="D813" s="54"/>
      <c r="E813" s="55"/>
    </row>
    <row r="814" ht="18.0" customHeight="1">
      <c r="D814" s="54"/>
      <c r="E814" s="55"/>
    </row>
    <row r="815" ht="18.0" customHeight="1">
      <c r="D815" s="54"/>
      <c r="E815" s="55"/>
    </row>
    <row r="816" ht="18.0" customHeight="1">
      <c r="D816" s="54"/>
      <c r="E816" s="55"/>
    </row>
    <row r="817" ht="18.0" customHeight="1">
      <c r="D817" s="54"/>
      <c r="E817" s="55"/>
    </row>
    <row r="818" ht="18.0" customHeight="1">
      <c r="D818" s="54"/>
      <c r="E818" s="55"/>
    </row>
    <row r="819" ht="18.0" customHeight="1">
      <c r="D819" s="54"/>
      <c r="E819" s="55"/>
    </row>
    <row r="820" ht="18.0" customHeight="1">
      <c r="D820" s="54"/>
      <c r="E820" s="55"/>
    </row>
    <row r="821" ht="18.0" customHeight="1">
      <c r="D821" s="54"/>
      <c r="E821" s="55"/>
    </row>
    <row r="822" ht="18.0" customHeight="1">
      <c r="D822" s="54"/>
      <c r="E822" s="55"/>
    </row>
    <row r="823" ht="18.0" customHeight="1">
      <c r="D823" s="54"/>
      <c r="E823" s="55"/>
    </row>
    <row r="824" ht="18.0" customHeight="1">
      <c r="D824" s="54"/>
      <c r="E824" s="55"/>
    </row>
    <row r="825" ht="18.0" customHeight="1">
      <c r="D825" s="54"/>
      <c r="E825" s="55"/>
    </row>
    <row r="826" ht="18.0" customHeight="1">
      <c r="D826" s="54"/>
      <c r="E826" s="55"/>
    </row>
    <row r="827" ht="18.0" customHeight="1">
      <c r="D827" s="54"/>
      <c r="E827" s="55"/>
    </row>
    <row r="828" ht="18.0" customHeight="1">
      <c r="D828" s="54"/>
      <c r="E828" s="55"/>
    </row>
    <row r="829" ht="18.0" customHeight="1">
      <c r="D829" s="54"/>
      <c r="E829" s="55"/>
    </row>
    <row r="830" ht="18.0" customHeight="1">
      <c r="D830" s="54"/>
      <c r="E830" s="55"/>
    </row>
    <row r="831" ht="18.0" customHeight="1">
      <c r="D831" s="54"/>
      <c r="E831" s="55"/>
    </row>
    <row r="832" ht="18.0" customHeight="1">
      <c r="D832" s="54"/>
      <c r="E832" s="55"/>
    </row>
    <row r="833" ht="18.0" customHeight="1">
      <c r="D833" s="54"/>
      <c r="E833" s="55"/>
    </row>
    <row r="834" ht="18.0" customHeight="1">
      <c r="D834" s="54"/>
      <c r="E834" s="55"/>
    </row>
    <row r="835" ht="18.0" customHeight="1">
      <c r="D835" s="54"/>
      <c r="E835" s="55"/>
    </row>
    <row r="836" ht="18.0" customHeight="1">
      <c r="D836" s="54"/>
      <c r="E836" s="55"/>
    </row>
    <row r="837" ht="18.0" customHeight="1">
      <c r="D837" s="54"/>
      <c r="E837" s="55"/>
    </row>
    <row r="838" ht="18.0" customHeight="1">
      <c r="D838" s="54"/>
      <c r="E838" s="55"/>
    </row>
    <row r="839" ht="18.0" customHeight="1">
      <c r="D839" s="54"/>
      <c r="E839" s="55"/>
    </row>
    <row r="840" ht="18.0" customHeight="1">
      <c r="D840" s="54"/>
      <c r="E840" s="55"/>
    </row>
    <row r="841" ht="18.0" customHeight="1">
      <c r="D841" s="54"/>
      <c r="E841" s="55"/>
    </row>
    <row r="842" ht="18.0" customHeight="1">
      <c r="D842" s="54"/>
      <c r="E842" s="55"/>
    </row>
    <row r="843" ht="18.0" customHeight="1">
      <c r="D843" s="54"/>
      <c r="E843" s="55"/>
    </row>
    <row r="844" ht="18.0" customHeight="1">
      <c r="D844" s="54"/>
      <c r="E844" s="55"/>
    </row>
    <row r="845" ht="18.0" customHeight="1">
      <c r="D845" s="54"/>
      <c r="E845" s="55"/>
    </row>
    <row r="846" ht="18.0" customHeight="1">
      <c r="D846" s="54"/>
      <c r="E846" s="55"/>
    </row>
    <row r="847" ht="18.0" customHeight="1">
      <c r="D847" s="54"/>
      <c r="E847" s="55"/>
    </row>
    <row r="848" ht="18.0" customHeight="1">
      <c r="D848" s="54"/>
      <c r="E848" s="55"/>
    </row>
    <row r="849" ht="18.0" customHeight="1">
      <c r="D849" s="54"/>
      <c r="E849" s="55"/>
    </row>
    <row r="850" ht="18.0" customHeight="1">
      <c r="D850" s="54"/>
      <c r="E850" s="55"/>
    </row>
    <row r="851" ht="18.0" customHeight="1">
      <c r="D851" s="54"/>
      <c r="E851" s="55"/>
    </row>
    <row r="852" ht="18.0" customHeight="1">
      <c r="D852" s="54"/>
      <c r="E852" s="55"/>
    </row>
    <row r="853" ht="18.0" customHeight="1">
      <c r="D853" s="54"/>
      <c r="E853" s="55"/>
    </row>
    <row r="854" ht="18.0" customHeight="1">
      <c r="D854" s="54"/>
      <c r="E854" s="55"/>
    </row>
    <row r="855" ht="18.0" customHeight="1">
      <c r="D855" s="54"/>
      <c r="E855" s="55"/>
    </row>
    <row r="856" ht="18.0" customHeight="1">
      <c r="D856" s="54"/>
      <c r="E856" s="55"/>
    </row>
    <row r="857" ht="18.0" customHeight="1">
      <c r="D857" s="54"/>
      <c r="E857" s="55"/>
    </row>
    <row r="858" ht="18.0" customHeight="1">
      <c r="D858" s="54"/>
      <c r="E858" s="55"/>
    </row>
    <row r="859" ht="18.0" customHeight="1">
      <c r="D859" s="54"/>
      <c r="E859" s="55"/>
    </row>
    <row r="860" ht="18.0" customHeight="1">
      <c r="D860" s="54"/>
      <c r="E860" s="55"/>
    </row>
    <row r="861" ht="18.0" customHeight="1">
      <c r="D861" s="54"/>
      <c r="E861" s="55"/>
    </row>
    <row r="862" ht="18.0" customHeight="1">
      <c r="D862" s="54"/>
      <c r="E862" s="55"/>
    </row>
    <row r="863" ht="18.0" customHeight="1">
      <c r="D863" s="54"/>
      <c r="E863" s="55"/>
    </row>
    <row r="864" ht="18.0" customHeight="1">
      <c r="D864" s="54"/>
      <c r="E864" s="55"/>
    </row>
    <row r="865" ht="18.0" customHeight="1">
      <c r="D865" s="54"/>
      <c r="E865" s="55"/>
    </row>
    <row r="866" ht="18.0" customHeight="1">
      <c r="D866" s="54"/>
      <c r="E866" s="55"/>
    </row>
    <row r="867" ht="18.0" customHeight="1">
      <c r="D867" s="54"/>
      <c r="E867" s="55"/>
    </row>
    <row r="868" ht="18.0" customHeight="1">
      <c r="D868" s="54"/>
      <c r="E868" s="55"/>
    </row>
    <row r="869" ht="18.0" customHeight="1">
      <c r="D869" s="54"/>
      <c r="E869" s="55"/>
    </row>
    <row r="870" ht="18.0" customHeight="1">
      <c r="D870" s="54"/>
      <c r="E870" s="55"/>
    </row>
    <row r="871" ht="18.0" customHeight="1">
      <c r="D871" s="54"/>
      <c r="E871" s="55"/>
    </row>
    <row r="872" ht="18.0" customHeight="1">
      <c r="D872" s="54"/>
      <c r="E872" s="55"/>
    </row>
    <row r="873" ht="18.0" customHeight="1">
      <c r="D873" s="54"/>
      <c r="E873" s="55"/>
    </row>
    <row r="874" ht="18.0" customHeight="1">
      <c r="D874" s="54"/>
      <c r="E874" s="55"/>
    </row>
    <row r="875" ht="18.0" customHeight="1">
      <c r="D875" s="54"/>
      <c r="E875" s="55"/>
    </row>
    <row r="876" ht="18.0" customHeight="1">
      <c r="D876" s="54"/>
      <c r="E876" s="55"/>
    </row>
    <row r="877" ht="18.0" customHeight="1">
      <c r="D877" s="54"/>
      <c r="E877" s="55"/>
    </row>
    <row r="878" ht="18.0" customHeight="1">
      <c r="D878" s="54"/>
      <c r="E878" s="55"/>
    </row>
    <row r="879" ht="18.0" customHeight="1">
      <c r="D879" s="54"/>
      <c r="E879" s="55"/>
    </row>
    <row r="880" ht="18.0" customHeight="1">
      <c r="D880" s="54"/>
      <c r="E880" s="55"/>
    </row>
    <row r="881" ht="18.0" customHeight="1">
      <c r="D881" s="54"/>
      <c r="E881" s="55"/>
    </row>
    <row r="882" ht="18.0" customHeight="1">
      <c r="D882" s="54"/>
      <c r="E882" s="55"/>
    </row>
    <row r="883" ht="18.0" customHeight="1">
      <c r="D883" s="54"/>
      <c r="E883" s="55"/>
    </row>
    <row r="884" ht="18.0" customHeight="1">
      <c r="D884" s="54"/>
      <c r="E884" s="55"/>
    </row>
    <row r="885" ht="18.0" customHeight="1">
      <c r="D885" s="54"/>
      <c r="E885" s="55"/>
    </row>
    <row r="886" ht="18.0" customHeight="1">
      <c r="D886" s="54"/>
      <c r="E886" s="55"/>
    </row>
    <row r="887" ht="18.0" customHeight="1">
      <c r="D887" s="54"/>
      <c r="E887" s="55"/>
    </row>
    <row r="888" ht="18.0" customHeight="1">
      <c r="D888" s="54"/>
      <c r="E888" s="55"/>
    </row>
    <row r="889" ht="18.0" customHeight="1">
      <c r="D889" s="54"/>
      <c r="E889" s="55"/>
    </row>
    <row r="890" ht="18.0" customHeight="1">
      <c r="D890" s="54"/>
      <c r="E890" s="55"/>
    </row>
    <row r="891" ht="18.0" customHeight="1">
      <c r="D891" s="54"/>
      <c r="E891" s="55"/>
    </row>
    <row r="892" ht="18.0" customHeight="1">
      <c r="D892" s="54"/>
      <c r="E892" s="55"/>
    </row>
    <row r="893" ht="18.0" customHeight="1">
      <c r="D893" s="54"/>
      <c r="E893" s="55"/>
    </row>
    <row r="894" ht="18.0" customHeight="1">
      <c r="D894" s="54"/>
      <c r="E894" s="55"/>
    </row>
    <row r="895" ht="18.0" customHeight="1">
      <c r="D895" s="54"/>
      <c r="E895" s="55"/>
    </row>
    <row r="896" ht="18.0" customHeight="1">
      <c r="D896" s="54"/>
      <c r="E896" s="55"/>
    </row>
    <row r="897" ht="18.0" customHeight="1">
      <c r="D897" s="54"/>
      <c r="E897" s="55"/>
    </row>
    <row r="898" ht="18.0" customHeight="1">
      <c r="D898" s="54"/>
      <c r="E898" s="55"/>
    </row>
    <row r="899" ht="18.0" customHeight="1">
      <c r="D899" s="54"/>
      <c r="E899" s="55"/>
    </row>
    <row r="900" ht="18.0" customHeight="1">
      <c r="D900" s="54"/>
      <c r="E900" s="55"/>
    </row>
    <row r="901" ht="18.0" customHeight="1">
      <c r="D901" s="54"/>
      <c r="E901" s="55"/>
    </row>
    <row r="902" ht="18.0" customHeight="1">
      <c r="D902" s="54"/>
      <c r="E902" s="55"/>
    </row>
    <row r="903" ht="18.0" customHeight="1">
      <c r="D903" s="54"/>
      <c r="E903" s="55"/>
    </row>
    <row r="904" ht="18.0" customHeight="1">
      <c r="D904" s="54"/>
      <c r="E904" s="55"/>
    </row>
    <row r="905" ht="18.0" customHeight="1">
      <c r="D905" s="54"/>
      <c r="E905" s="55"/>
    </row>
    <row r="906" ht="18.0" customHeight="1">
      <c r="D906" s="54"/>
      <c r="E906" s="55"/>
    </row>
    <row r="907" ht="18.0" customHeight="1">
      <c r="D907" s="54"/>
      <c r="E907" s="55"/>
    </row>
    <row r="908" ht="18.0" customHeight="1">
      <c r="D908" s="54"/>
      <c r="E908" s="55"/>
    </row>
    <row r="909" ht="18.0" customHeight="1">
      <c r="D909" s="54"/>
      <c r="E909" s="55"/>
    </row>
    <row r="910" ht="18.0" customHeight="1">
      <c r="D910" s="54"/>
      <c r="E910" s="55"/>
    </row>
    <row r="911" ht="18.0" customHeight="1">
      <c r="D911" s="54"/>
      <c r="E911" s="55"/>
    </row>
    <row r="912" ht="18.0" customHeight="1">
      <c r="D912" s="54"/>
      <c r="E912" s="55"/>
    </row>
    <row r="913" ht="18.0" customHeight="1">
      <c r="D913" s="54"/>
      <c r="E913" s="55"/>
    </row>
    <row r="914" ht="18.0" customHeight="1">
      <c r="D914" s="54"/>
      <c r="E914" s="55"/>
    </row>
    <row r="915" ht="18.0" customHeight="1">
      <c r="D915" s="54"/>
      <c r="E915" s="55"/>
    </row>
    <row r="916" ht="18.0" customHeight="1">
      <c r="D916" s="54"/>
      <c r="E916" s="55"/>
    </row>
    <row r="917" ht="18.0" customHeight="1">
      <c r="D917" s="54"/>
      <c r="E917" s="55"/>
    </row>
    <row r="918" ht="18.0" customHeight="1">
      <c r="D918" s="54"/>
      <c r="E918" s="55"/>
    </row>
    <row r="919" ht="18.0" customHeight="1">
      <c r="D919" s="54"/>
      <c r="E919" s="55"/>
    </row>
    <row r="920" ht="18.0" customHeight="1">
      <c r="D920" s="54"/>
      <c r="E920" s="55"/>
    </row>
    <row r="921" ht="18.0" customHeight="1">
      <c r="D921" s="54"/>
      <c r="E921" s="55"/>
    </row>
    <row r="922" ht="18.0" customHeight="1">
      <c r="D922" s="54"/>
      <c r="E922" s="55"/>
    </row>
    <row r="923" ht="18.0" customHeight="1">
      <c r="D923" s="54"/>
      <c r="E923" s="55"/>
    </row>
    <row r="924" ht="18.0" customHeight="1">
      <c r="D924" s="54"/>
      <c r="E924" s="55"/>
    </row>
    <row r="925" ht="18.0" customHeight="1">
      <c r="D925" s="54"/>
      <c r="E925" s="55"/>
    </row>
    <row r="926" ht="18.0" customHeight="1">
      <c r="D926" s="54"/>
      <c r="E926" s="55"/>
    </row>
    <row r="927" ht="18.0" customHeight="1">
      <c r="D927" s="54"/>
      <c r="E927" s="55"/>
    </row>
    <row r="928" ht="18.0" customHeight="1">
      <c r="D928" s="54"/>
      <c r="E928" s="55"/>
    </row>
    <row r="929" ht="18.0" customHeight="1">
      <c r="D929" s="54"/>
      <c r="E929" s="55"/>
    </row>
    <row r="930" ht="18.0" customHeight="1">
      <c r="D930" s="54"/>
      <c r="E930" s="55"/>
    </row>
    <row r="931" ht="18.0" customHeight="1">
      <c r="D931" s="54"/>
      <c r="E931" s="55"/>
    </row>
    <row r="932" ht="18.0" customHeight="1">
      <c r="D932" s="54"/>
      <c r="E932" s="55"/>
    </row>
    <row r="933" ht="18.0" customHeight="1">
      <c r="D933" s="54"/>
      <c r="E933" s="55"/>
    </row>
    <row r="934" ht="18.0" customHeight="1">
      <c r="D934" s="54"/>
      <c r="E934" s="55"/>
    </row>
    <row r="935" ht="18.0" customHeight="1">
      <c r="D935" s="54"/>
      <c r="E935" s="55"/>
    </row>
    <row r="936" ht="18.0" customHeight="1">
      <c r="D936" s="54"/>
      <c r="E936" s="55"/>
    </row>
    <row r="937" ht="18.0" customHeight="1">
      <c r="D937" s="54"/>
      <c r="E937" s="55"/>
    </row>
    <row r="938" ht="18.0" customHeight="1">
      <c r="D938" s="54"/>
      <c r="E938" s="55"/>
    </row>
    <row r="939" ht="18.0" customHeight="1">
      <c r="D939" s="54"/>
      <c r="E939" s="55"/>
    </row>
    <row r="940" ht="18.0" customHeight="1">
      <c r="D940" s="54"/>
      <c r="E940" s="55"/>
    </row>
    <row r="941" ht="18.0" customHeight="1">
      <c r="D941" s="54"/>
      <c r="E941" s="55"/>
    </row>
    <row r="942" ht="18.0" customHeight="1">
      <c r="D942" s="54"/>
      <c r="E942" s="55"/>
    </row>
    <row r="943" ht="18.0" customHeight="1">
      <c r="D943" s="54"/>
      <c r="E943" s="55"/>
    </row>
    <row r="944" ht="18.0" customHeight="1">
      <c r="D944" s="54"/>
      <c r="E944" s="55"/>
    </row>
    <row r="945" ht="18.0" customHeight="1">
      <c r="D945" s="54"/>
      <c r="E945" s="55"/>
    </row>
    <row r="946" ht="18.0" customHeight="1">
      <c r="D946" s="54"/>
      <c r="E946" s="55"/>
    </row>
    <row r="947" ht="18.0" customHeight="1">
      <c r="D947" s="54"/>
      <c r="E947" s="55"/>
    </row>
    <row r="948" ht="18.0" customHeight="1">
      <c r="D948" s="54"/>
      <c r="E948" s="55"/>
    </row>
    <row r="949" ht="18.0" customHeight="1">
      <c r="D949" s="54"/>
      <c r="E949" s="55"/>
    </row>
    <row r="950" ht="18.0" customHeight="1">
      <c r="D950" s="54"/>
      <c r="E950" s="55"/>
    </row>
    <row r="951" ht="18.0" customHeight="1">
      <c r="D951" s="54"/>
      <c r="E951" s="55"/>
    </row>
    <row r="952" ht="18.0" customHeight="1">
      <c r="D952" s="54"/>
      <c r="E952" s="55"/>
    </row>
    <row r="953" ht="18.0" customHeight="1">
      <c r="D953" s="54"/>
      <c r="E953" s="55"/>
    </row>
    <row r="954" ht="18.0" customHeight="1">
      <c r="D954" s="54"/>
      <c r="E954" s="55"/>
    </row>
    <row r="955" ht="18.0" customHeight="1">
      <c r="D955" s="54"/>
      <c r="E955" s="55"/>
    </row>
    <row r="956" ht="18.0" customHeight="1">
      <c r="D956" s="54"/>
      <c r="E956" s="55"/>
    </row>
    <row r="957" ht="18.0" customHeight="1">
      <c r="D957" s="54"/>
      <c r="E957" s="55"/>
    </row>
    <row r="958" ht="18.0" customHeight="1">
      <c r="D958" s="54"/>
      <c r="E958" s="55"/>
    </row>
    <row r="959" ht="18.0" customHeight="1">
      <c r="D959" s="54"/>
      <c r="E959" s="55"/>
    </row>
    <row r="960" ht="18.0" customHeight="1">
      <c r="D960" s="54"/>
      <c r="E960" s="55"/>
    </row>
    <row r="961" ht="18.0" customHeight="1">
      <c r="D961" s="54"/>
      <c r="E961" s="55"/>
    </row>
    <row r="962" ht="18.0" customHeight="1">
      <c r="D962" s="54"/>
      <c r="E962" s="55"/>
    </row>
    <row r="963" ht="18.0" customHeight="1">
      <c r="D963" s="54"/>
      <c r="E963" s="55"/>
    </row>
    <row r="964" ht="18.0" customHeight="1">
      <c r="D964" s="54"/>
      <c r="E964" s="55"/>
    </row>
    <row r="965" ht="18.0" customHeight="1">
      <c r="D965" s="54"/>
      <c r="E965" s="55"/>
    </row>
    <row r="966" ht="18.0" customHeight="1">
      <c r="D966" s="54"/>
      <c r="E966" s="55"/>
    </row>
    <row r="967" ht="18.0" customHeight="1">
      <c r="D967" s="54"/>
      <c r="E967" s="55"/>
    </row>
    <row r="968" ht="18.0" customHeight="1">
      <c r="D968" s="54"/>
      <c r="E968" s="55"/>
    </row>
    <row r="969" ht="18.0" customHeight="1">
      <c r="D969" s="54"/>
      <c r="E969" s="55"/>
    </row>
    <row r="970" ht="18.0" customHeight="1">
      <c r="D970" s="54"/>
      <c r="E970" s="55"/>
    </row>
    <row r="971" ht="18.0" customHeight="1">
      <c r="D971" s="54"/>
      <c r="E971" s="55"/>
    </row>
    <row r="972" ht="18.0" customHeight="1">
      <c r="D972" s="54"/>
      <c r="E972" s="55"/>
    </row>
    <row r="973" ht="18.0" customHeight="1">
      <c r="D973" s="54"/>
      <c r="E973" s="55"/>
    </row>
    <row r="974" ht="18.0" customHeight="1">
      <c r="D974" s="54"/>
      <c r="E974" s="55"/>
    </row>
    <row r="975" ht="18.0" customHeight="1">
      <c r="D975" s="54"/>
      <c r="E975" s="55"/>
    </row>
    <row r="976" ht="18.0" customHeight="1">
      <c r="D976" s="54"/>
      <c r="E976" s="55"/>
    </row>
    <row r="977" ht="18.0" customHeight="1">
      <c r="D977" s="54"/>
      <c r="E977" s="55"/>
    </row>
    <row r="978" ht="18.0" customHeight="1">
      <c r="D978" s="54"/>
      <c r="E978" s="55"/>
    </row>
    <row r="979" ht="18.0" customHeight="1">
      <c r="D979" s="54"/>
      <c r="E979" s="55"/>
    </row>
    <row r="980" ht="18.0" customHeight="1">
      <c r="D980" s="54"/>
      <c r="E980" s="55"/>
    </row>
    <row r="981" ht="18.0" customHeight="1">
      <c r="D981" s="54"/>
      <c r="E981" s="55"/>
    </row>
    <row r="982" ht="18.0" customHeight="1">
      <c r="D982" s="54"/>
      <c r="E982" s="55"/>
    </row>
    <row r="983" ht="18.0" customHeight="1">
      <c r="D983" s="54"/>
      <c r="E983" s="55"/>
    </row>
    <row r="984" ht="18.0" customHeight="1">
      <c r="D984" s="54"/>
      <c r="E984" s="55"/>
    </row>
    <row r="985" ht="18.0" customHeight="1">
      <c r="D985" s="54"/>
      <c r="E985" s="55"/>
    </row>
    <row r="986" ht="18.0" customHeight="1">
      <c r="D986" s="54"/>
      <c r="E986" s="55"/>
    </row>
    <row r="987" ht="18.0" customHeight="1">
      <c r="D987" s="54"/>
      <c r="E987" s="55"/>
    </row>
    <row r="988" ht="18.0" customHeight="1">
      <c r="D988" s="54"/>
      <c r="E988" s="55"/>
    </row>
    <row r="989" ht="18.0" customHeight="1">
      <c r="D989" s="54"/>
      <c r="E989" s="55"/>
    </row>
    <row r="990" ht="18.0" customHeight="1">
      <c r="D990" s="54"/>
      <c r="E990" s="55"/>
    </row>
    <row r="991" ht="18.0" customHeight="1">
      <c r="D991" s="54"/>
      <c r="E991" s="55"/>
    </row>
    <row r="992" ht="18.0" customHeight="1">
      <c r="D992" s="54"/>
      <c r="E992" s="55"/>
    </row>
    <row r="993" ht="18.0" customHeight="1">
      <c r="D993" s="54"/>
      <c r="E993" s="55"/>
    </row>
    <row r="994" ht="18.0" customHeight="1">
      <c r="D994" s="54"/>
      <c r="E994" s="55"/>
    </row>
    <row r="995" ht="18.0" customHeight="1">
      <c r="D995" s="54"/>
      <c r="E995" s="55"/>
    </row>
    <row r="996" ht="18.0" customHeight="1">
      <c r="D996" s="54"/>
      <c r="E996" s="55"/>
    </row>
    <row r="997" ht="18.0" customHeight="1">
      <c r="D997" s="54"/>
      <c r="E997" s="55"/>
    </row>
    <row r="998" ht="18.0" customHeight="1">
      <c r="D998" s="54"/>
      <c r="E998" s="55"/>
    </row>
    <row r="999" ht="18.0" customHeight="1">
      <c r="D999" s="54"/>
      <c r="E999" s="55"/>
    </row>
    <row r="1000" ht="18.0" customHeight="1">
      <c r="D1000" s="54"/>
      <c r="E1000" s="55"/>
    </row>
  </sheetData>
  <mergeCells count="16">
    <mergeCell ref="G3:G36"/>
    <mergeCell ref="G39:G44"/>
    <mergeCell ref="G48:G58"/>
    <mergeCell ref="G64:G75"/>
    <mergeCell ref="G80:G83"/>
    <mergeCell ref="A46:O46"/>
    <mergeCell ref="A47:E47"/>
    <mergeCell ref="J47:O47"/>
    <mergeCell ref="A62:O62"/>
    <mergeCell ref="A63:E63"/>
    <mergeCell ref="J63:O63"/>
    <mergeCell ref="A79:E79"/>
    <mergeCell ref="A1:O1"/>
    <mergeCell ref="A2:E2"/>
    <mergeCell ref="J2:O2"/>
    <mergeCell ref="A38:E3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30.0"/>
    <col customWidth="1" min="3" max="6" width="8.71"/>
    <col customWidth="1" min="7" max="7" width="10.29"/>
    <col customWidth="1" min="8" max="8" width="19.29"/>
    <col customWidth="1" min="9" max="9" width="6.0"/>
    <col customWidth="1" min="10" max="10" width="32.0"/>
    <col customWidth="1" min="11" max="14" width="8.71"/>
    <col customWidth="1" min="15" max="15" width="9.71"/>
    <col customWidth="1" min="16" max="16" width="15.71"/>
    <col customWidth="1" min="17" max="17" width="7.0"/>
    <col customWidth="1" min="18" max="18" width="28.14"/>
    <col customWidth="1" min="19" max="23" width="8.71"/>
    <col customWidth="1" min="24" max="24" width="22.86"/>
    <col customWidth="1" min="25" max="25" width="8.71"/>
    <col customWidth="1" min="26" max="26" width="28.14"/>
    <col customWidth="1" min="27" max="31" width="8.71"/>
    <col customWidth="1" min="32" max="32" width="15.43"/>
  </cols>
  <sheetData>
    <row r="2">
      <c r="B2" s="150" t="s">
        <v>127</v>
      </c>
      <c r="C2" s="5"/>
      <c r="D2" s="5"/>
      <c r="E2" s="5"/>
      <c r="F2" s="5"/>
      <c r="G2" s="5"/>
      <c r="H2" s="151"/>
      <c r="J2" s="150" t="s">
        <v>128</v>
      </c>
      <c r="K2" s="5"/>
      <c r="L2" s="5"/>
      <c r="M2" s="5"/>
      <c r="N2" s="5"/>
      <c r="O2" s="5"/>
      <c r="P2" s="151"/>
      <c r="R2" s="150" t="s">
        <v>129</v>
      </c>
      <c r="S2" s="5"/>
      <c r="T2" s="5"/>
      <c r="U2" s="5"/>
      <c r="V2" s="5"/>
      <c r="W2" s="5"/>
      <c r="X2" s="151"/>
      <c r="Z2" s="150" t="s">
        <v>130</v>
      </c>
      <c r="AA2" s="5"/>
      <c r="AB2" s="5"/>
      <c r="AC2" s="5"/>
      <c r="AD2" s="5"/>
      <c r="AE2" s="5"/>
      <c r="AF2" s="151"/>
    </row>
    <row r="3">
      <c r="B3" s="152" t="s">
        <v>131</v>
      </c>
      <c r="C3" s="153" t="s">
        <v>132</v>
      </c>
      <c r="D3" s="154"/>
      <c r="E3" s="154"/>
      <c r="F3" s="155"/>
      <c r="G3" s="156" t="s">
        <v>12</v>
      </c>
      <c r="H3" s="157" t="s">
        <v>133</v>
      </c>
      <c r="J3" s="152" t="s">
        <v>131</v>
      </c>
      <c r="K3" s="153" t="s">
        <v>132</v>
      </c>
      <c r="L3" s="154"/>
      <c r="M3" s="154"/>
      <c r="N3" s="155"/>
      <c r="O3" s="156" t="s">
        <v>12</v>
      </c>
      <c r="P3" s="157" t="s">
        <v>133</v>
      </c>
      <c r="R3" s="152" t="s">
        <v>131</v>
      </c>
      <c r="S3" s="153" t="s">
        <v>132</v>
      </c>
      <c r="T3" s="154"/>
      <c r="U3" s="154"/>
      <c r="V3" s="155"/>
      <c r="W3" s="156" t="s">
        <v>12</v>
      </c>
      <c r="X3" s="157" t="s">
        <v>133</v>
      </c>
      <c r="Z3" s="152" t="s">
        <v>131</v>
      </c>
      <c r="AA3" s="153" t="s">
        <v>132</v>
      </c>
      <c r="AB3" s="154"/>
      <c r="AC3" s="154"/>
      <c r="AD3" s="155"/>
      <c r="AE3" s="156" t="s">
        <v>12</v>
      </c>
      <c r="AF3" s="157" t="s">
        <v>133</v>
      </c>
    </row>
    <row r="4">
      <c r="B4" s="158" t="s">
        <v>0</v>
      </c>
      <c r="C4" s="5"/>
      <c r="D4" s="5"/>
      <c r="E4" s="5"/>
      <c r="F4" s="6"/>
      <c r="G4" s="159"/>
      <c r="H4" s="160" t="str">
        <f>SUM(H5:H41)</f>
        <v>#REF!</v>
      </c>
      <c r="J4" s="158" t="s">
        <v>0</v>
      </c>
      <c r="K4" s="5"/>
      <c r="L4" s="5"/>
      <c r="M4" s="5"/>
      <c r="N4" s="6"/>
      <c r="O4" s="159"/>
      <c r="P4" s="160" t="str">
        <f>SUM(P5:P41)</f>
        <v>#REF!</v>
      </c>
      <c r="R4" s="158" t="s">
        <v>0</v>
      </c>
      <c r="S4" s="5"/>
      <c r="T4" s="5"/>
      <c r="U4" s="5"/>
      <c r="V4" s="6"/>
      <c r="W4" s="159"/>
      <c r="X4" s="160" t="str">
        <f>SUM(X5:X41)</f>
        <v>#REF!</v>
      </c>
      <c r="Z4" s="158" t="s">
        <v>0</v>
      </c>
      <c r="AA4" s="5"/>
      <c r="AB4" s="5"/>
      <c r="AC4" s="5"/>
      <c r="AD4" s="6"/>
      <c r="AE4" s="159"/>
      <c r="AF4" s="160" t="str">
        <f>SUM(AF5:AF41)</f>
        <v>#REF!</v>
      </c>
    </row>
    <row r="5">
      <c r="B5" s="161" t="s">
        <v>134</v>
      </c>
      <c r="C5" s="162"/>
      <c r="D5" s="162"/>
      <c r="E5" s="162"/>
      <c r="F5" s="163"/>
      <c r="G5" s="159">
        <f>('DON CHACHO'!N4)</f>
        <v>10400</v>
      </c>
      <c r="H5" s="164">
        <f t="shared" ref="H5:H41" si="1">(G5*SUM(C5:F5))</f>
        <v>0</v>
      </c>
      <c r="J5" s="161" t="s">
        <v>134</v>
      </c>
      <c r="K5" s="162"/>
      <c r="L5" s="162"/>
      <c r="M5" s="162"/>
      <c r="N5" s="163"/>
      <c r="O5" s="159">
        <f>G5</f>
        <v>10400</v>
      </c>
      <c r="P5" s="164">
        <f t="shared" ref="P5:P41" si="2">(O5*SUM(K5:N5))</f>
        <v>0</v>
      </c>
      <c r="R5" s="161" t="s">
        <v>134</v>
      </c>
      <c r="S5" s="162"/>
      <c r="T5" s="162"/>
      <c r="U5" s="162"/>
      <c r="V5" s="163"/>
      <c r="W5" s="159">
        <f t="shared" ref="W5:W41" si="3">G5</f>
        <v>10400</v>
      </c>
      <c r="X5" s="164">
        <f t="shared" ref="X5:X41" si="4">(W5*SUM(S5:V5))</f>
        <v>0</v>
      </c>
      <c r="Z5" s="161" t="s">
        <v>134</v>
      </c>
      <c r="AA5" s="162"/>
      <c r="AB5" s="162"/>
      <c r="AC5" s="162"/>
      <c r="AD5" s="163"/>
      <c r="AE5" s="159">
        <f t="shared" ref="AE5:AE41" si="5">G5</f>
        <v>10400</v>
      </c>
      <c r="AF5" s="164">
        <f t="shared" ref="AF5:AF41" si="6">(AE5*SUM(AA5:AD5))</f>
        <v>0</v>
      </c>
    </row>
    <row r="6">
      <c r="B6" s="165" t="s">
        <v>135</v>
      </c>
      <c r="C6" s="166"/>
      <c r="D6" s="166"/>
      <c r="E6" s="167"/>
      <c r="F6" s="168"/>
      <c r="G6" s="159" t="str">
        <f>#REF!</f>
        <v>#REF!</v>
      </c>
      <c r="H6" s="164" t="str">
        <f t="shared" si="1"/>
        <v>#REF!</v>
      </c>
      <c r="J6" s="165" t="s">
        <v>135</v>
      </c>
      <c r="K6" s="167"/>
      <c r="L6" s="167"/>
      <c r="M6" s="167"/>
      <c r="N6" s="168"/>
      <c r="O6" s="159">
        <v>4500.0</v>
      </c>
      <c r="P6" s="164">
        <f t="shared" si="2"/>
        <v>0</v>
      </c>
      <c r="R6" s="165" t="s">
        <v>135</v>
      </c>
      <c r="S6" s="167"/>
      <c r="T6" s="167"/>
      <c r="U6" s="167"/>
      <c r="V6" s="168"/>
      <c r="W6" s="159" t="str">
        <f t="shared" si="3"/>
        <v>#REF!</v>
      </c>
      <c r="X6" s="164" t="str">
        <f t="shared" si="4"/>
        <v>#REF!</v>
      </c>
      <c r="Z6" s="165" t="s">
        <v>135</v>
      </c>
      <c r="AA6" s="167"/>
      <c r="AB6" s="167"/>
      <c r="AC6" s="167"/>
      <c r="AD6" s="168"/>
      <c r="AE6" s="159" t="str">
        <f t="shared" si="5"/>
        <v>#REF!</v>
      </c>
      <c r="AF6" s="164" t="str">
        <f t="shared" si="6"/>
        <v>#REF!</v>
      </c>
    </row>
    <row r="7">
      <c r="B7" s="169" t="s">
        <v>124</v>
      </c>
      <c r="C7" s="100"/>
      <c r="D7" s="170"/>
      <c r="E7" s="171"/>
      <c r="F7" s="172"/>
      <c r="G7" s="159" t="str">
        <f>(#REF!)</f>
        <v>#REF!</v>
      </c>
      <c r="H7" s="164" t="str">
        <f t="shared" si="1"/>
        <v>#REF!</v>
      </c>
      <c r="J7" s="165" t="s">
        <v>124</v>
      </c>
      <c r="K7" s="173"/>
      <c r="L7" s="167"/>
      <c r="M7" s="167"/>
      <c r="N7" s="172"/>
      <c r="O7" s="159" t="str">
        <f t="shared" ref="O7:O41" si="7">G7</f>
        <v>#REF!</v>
      </c>
      <c r="P7" s="164" t="str">
        <f t="shared" si="2"/>
        <v>#REF!</v>
      </c>
      <c r="R7" s="165" t="s">
        <v>124</v>
      </c>
      <c r="S7" s="173"/>
      <c r="T7" s="167"/>
      <c r="U7" s="167"/>
      <c r="V7" s="172"/>
      <c r="W7" s="159" t="str">
        <f t="shared" si="3"/>
        <v>#REF!</v>
      </c>
      <c r="X7" s="164" t="str">
        <f t="shared" si="4"/>
        <v>#REF!</v>
      </c>
      <c r="Z7" s="165" t="s">
        <v>124</v>
      </c>
      <c r="AA7" s="173"/>
      <c r="AB7" s="167"/>
      <c r="AC7" s="167"/>
      <c r="AD7" s="172"/>
      <c r="AE7" s="159" t="str">
        <f t="shared" si="5"/>
        <v>#REF!</v>
      </c>
      <c r="AF7" s="164" t="str">
        <f t="shared" si="6"/>
        <v>#REF!</v>
      </c>
    </row>
    <row r="8">
      <c r="B8" s="136" t="s">
        <v>14</v>
      </c>
      <c r="C8" s="100"/>
      <c r="D8" s="170"/>
      <c r="E8" s="174"/>
      <c r="F8" s="172"/>
      <c r="G8" s="159">
        <f>('DON CHACHO'!D4)</f>
        <v>22990</v>
      </c>
      <c r="H8" s="164">
        <f t="shared" si="1"/>
        <v>0</v>
      </c>
      <c r="J8" s="20" t="s">
        <v>14</v>
      </c>
      <c r="K8" s="100"/>
      <c r="L8" s="100"/>
      <c r="M8" s="100"/>
      <c r="N8" s="172"/>
      <c r="O8" s="159">
        <f t="shared" si="7"/>
        <v>22990</v>
      </c>
      <c r="P8" s="164">
        <f t="shared" si="2"/>
        <v>0</v>
      </c>
      <c r="R8" s="20" t="s">
        <v>14</v>
      </c>
      <c r="S8" s="100"/>
      <c r="T8" s="100"/>
      <c r="U8" s="100"/>
      <c r="V8" s="172"/>
      <c r="W8" s="159">
        <f t="shared" si="3"/>
        <v>22990</v>
      </c>
      <c r="X8" s="164">
        <f t="shared" si="4"/>
        <v>0</v>
      </c>
      <c r="Z8" s="20" t="s">
        <v>14</v>
      </c>
      <c r="AA8" s="100"/>
      <c r="AB8" s="100"/>
      <c r="AC8" s="100"/>
      <c r="AD8" s="172"/>
      <c r="AE8" s="159">
        <f t="shared" si="5"/>
        <v>22990</v>
      </c>
      <c r="AF8" s="164">
        <f t="shared" si="6"/>
        <v>0</v>
      </c>
    </row>
    <row r="9">
      <c r="B9" s="136" t="s">
        <v>16</v>
      </c>
      <c r="C9" s="100"/>
      <c r="D9" s="100"/>
      <c r="E9" s="174"/>
      <c r="F9" s="172"/>
      <c r="G9" s="159">
        <f>('DON CHACHO'!D5)</f>
        <v>22950</v>
      </c>
      <c r="H9" s="164">
        <f t="shared" si="1"/>
        <v>0</v>
      </c>
      <c r="J9" s="20" t="s">
        <v>16</v>
      </c>
      <c r="K9" s="100"/>
      <c r="L9" s="100"/>
      <c r="M9" s="100"/>
      <c r="N9" s="172"/>
      <c r="O9" s="159">
        <f t="shared" si="7"/>
        <v>22950</v>
      </c>
      <c r="P9" s="164">
        <f t="shared" si="2"/>
        <v>0</v>
      </c>
      <c r="R9" s="20" t="s">
        <v>16</v>
      </c>
      <c r="S9" s="100"/>
      <c r="T9" s="100"/>
      <c r="U9" s="100"/>
      <c r="V9" s="172"/>
      <c r="W9" s="159">
        <f t="shared" si="3"/>
        <v>22950</v>
      </c>
      <c r="X9" s="164">
        <f t="shared" si="4"/>
        <v>0</v>
      </c>
      <c r="Z9" s="20" t="s">
        <v>16</v>
      </c>
      <c r="AA9" s="100"/>
      <c r="AB9" s="100"/>
      <c r="AC9" s="100"/>
      <c r="AD9" s="172"/>
      <c r="AE9" s="159">
        <f t="shared" si="5"/>
        <v>22950</v>
      </c>
      <c r="AF9" s="164">
        <f t="shared" si="6"/>
        <v>0</v>
      </c>
    </row>
    <row r="10">
      <c r="B10" s="136" t="s">
        <v>18</v>
      </c>
      <c r="C10" s="100"/>
      <c r="D10" s="175"/>
      <c r="E10" s="171"/>
      <c r="F10" s="172"/>
      <c r="G10" s="159">
        <f>('DON CHACHO'!D51)</f>
        <v>19900</v>
      </c>
      <c r="H10" s="164">
        <f t="shared" si="1"/>
        <v>0</v>
      </c>
      <c r="J10" s="20" t="s">
        <v>18</v>
      </c>
      <c r="K10" s="100">
        <v>6.2</v>
      </c>
      <c r="L10" s="100"/>
      <c r="M10" s="100"/>
      <c r="N10" s="172"/>
      <c r="O10" s="159">
        <f t="shared" si="7"/>
        <v>19900</v>
      </c>
      <c r="P10" s="164">
        <f t="shared" si="2"/>
        <v>123380</v>
      </c>
      <c r="R10" s="20" t="s">
        <v>18</v>
      </c>
      <c r="S10" s="100">
        <v>10.17</v>
      </c>
      <c r="T10" s="100">
        <v>3.31</v>
      </c>
      <c r="U10" s="100">
        <v>6.0</v>
      </c>
      <c r="V10" s="172"/>
      <c r="W10" s="159">
        <f t="shared" si="3"/>
        <v>19900</v>
      </c>
      <c r="X10" s="164">
        <f t="shared" si="4"/>
        <v>387652</v>
      </c>
      <c r="Z10" s="20" t="s">
        <v>18</v>
      </c>
      <c r="AA10" s="100">
        <v>3.0</v>
      </c>
      <c r="AB10" s="100">
        <v>2.2</v>
      </c>
      <c r="AC10" s="100">
        <v>6.7</v>
      </c>
      <c r="AD10" s="172"/>
      <c r="AE10" s="159">
        <f t="shared" si="5"/>
        <v>19900</v>
      </c>
      <c r="AF10" s="164">
        <f t="shared" si="6"/>
        <v>236810</v>
      </c>
    </row>
    <row r="11">
      <c r="B11" s="136" t="s">
        <v>20</v>
      </c>
      <c r="C11" s="100"/>
      <c r="D11" s="100"/>
      <c r="E11" s="174"/>
      <c r="F11" s="172"/>
      <c r="G11" s="159">
        <f>('DON CHACHO'!D7)</f>
        <v>25950</v>
      </c>
      <c r="H11" s="164">
        <f t="shared" si="1"/>
        <v>0</v>
      </c>
      <c r="J11" s="20" t="s">
        <v>20</v>
      </c>
      <c r="K11" s="100"/>
      <c r="L11" s="100"/>
      <c r="M11" s="100"/>
      <c r="N11" s="172"/>
      <c r="O11" s="159">
        <f t="shared" si="7"/>
        <v>25950</v>
      </c>
      <c r="P11" s="164">
        <f t="shared" si="2"/>
        <v>0</v>
      </c>
      <c r="R11" s="20" t="s">
        <v>20</v>
      </c>
      <c r="S11" s="100"/>
      <c r="T11" s="100"/>
      <c r="U11" s="100"/>
      <c r="V11" s="172"/>
      <c r="W11" s="159">
        <f t="shared" si="3"/>
        <v>25950</v>
      </c>
      <c r="X11" s="164">
        <f t="shared" si="4"/>
        <v>0</v>
      </c>
      <c r="Z11" s="20" t="s">
        <v>20</v>
      </c>
      <c r="AA11" s="100"/>
      <c r="AB11" s="100"/>
      <c r="AC11" s="100"/>
      <c r="AD11" s="172"/>
      <c r="AE11" s="159">
        <f t="shared" si="5"/>
        <v>25950</v>
      </c>
      <c r="AF11" s="164">
        <f t="shared" si="6"/>
        <v>0</v>
      </c>
    </row>
    <row r="12">
      <c r="B12" s="136" t="s">
        <v>22</v>
      </c>
      <c r="C12" s="100"/>
      <c r="D12" s="100"/>
      <c r="E12" s="174"/>
      <c r="F12" s="172"/>
      <c r="G12" s="159">
        <f>('DON CHACHO'!D8)</f>
        <v>19500</v>
      </c>
      <c r="H12" s="164">
        <f t="shared" si="1"/>
        <v>0</v>
      </c>
      <c r="J12" s="20" t="s">
        <v>22</v>
      </c>
      <c r="K12" s="100">
        <v>4.0</v>
      </c>
      <c r="L12" s="100"/>
      <c r="M12" s="100"/>
      <c r="N12" s="172"/>
      <c r="O12" s="159">
        <f t="shared" si="7"/>
        <v>19500</v>
      </c>
      <c r="P12" s="164">
        <f t="shared" si="2"/>
        <v>78000</v>
      </c>
      <c r="R12" s="20" t="s">
        <v>22</v>
      </c>
      <c r="S12" s="100"/>
      <c r="T12" s="100"/>
      <c r="U12" s="100"/>
      <c r="V12" s="172"/>
      <c r="W12" s="159">
        <f t="shared" si="3"/>
        <v>19500</v>
      </c>
      <c r="X12" s="164">
        <f t="shared" si="4"/>
        <v>0</v>
      </c>
      <c r="Z12" s="20" t="s">
        <v>22</v>
      </c>
      <c r="AA12" s="100">
        <v>17.6</v>
      </c>
      <c r="AB12" s="100">
        <v>3.9</v>
      </c>
      <c r="AC12" s="100"/>
      <c r="AD12" s="172"/>
      <c r="AE12" s="159">
        <f t="shared" si="5"/>
        <v>19500</v>
      </c>
      <c r="AF12" s="164">
        <f t="shared" si="6"/>
        <v>419250</v>
      </c>
    </row>
    <row r="13">
      <c r="B13" s="136" t="s">
        <v>24</v>
      </c>
      <c r="C13" s="100"/>
      <c r="D13" s="176"/>
      <c r="E13" s="174"/>
      <c r="F13" s="172"/>
      <c r="G13" s="159">
        <f>('DON CHACHO'!D9)</f>
        <v>19180</v>
      </c>
      <c r="H13" s="164">
        <f t="shared" si="1"/>
        <v>0</v>
      </c>
      <c r="J13" s="20" t="s">
        <v>24</v>
      </c>
      <c r="K13" s="100"/>
      <c r="L13" s="100"/>
      <c r="M13" s="100"/>
      <c r="N13" s="172"/>
      <c r="O13" s="159">
        <f t="shared" si="7"/>
        <v>19180</v>
      </c>
      <c r="P13" s="164">
        <f t="shared" si="2"/>
        <v>0</v>
      </c>
      <c r="R13" s="20" t="s">
        <v>24</v>
      </c>
      <c r="S13" s="100">
        <v>3.0</v>
      </c>
      <c r="T13" s="100"/>
      <c r="U13" s="100"/>
      <c r="V13" s="172"/>
      <c r="W13" s="159">
        <f t="shared" si="3"/>
        <v>19180</v>
      </c>
      <c r="X13" s="164">
        <f t="shared" si="4"/>
        <v>57540</v>
      </c>
      <c r="Z13" s="20" t="s">
        <v>24</v>
      </c>
      <c r="AA13" s="100">
        <v>22.5</v>
      </c>
      <c r="AB13" s="100">
        <v>2.3</v>
      </c>
      <c r="AC13" s="100"/>
      <c r="AD13" s="172"/>
      <c r="AE13" s="159">
        <f t="shared" si="5"/>
        <v>19180</v>
      </c>
      <c r="AF13" s="164">
        <f t="shared" si="6"/>
        <v>475664</v>
      </c>
    </row>
    <row r="14">
      <c r="B14" s="136" t="s">
        <v>26</v>
      </c>
      <c r="C14" s="100"/>
      <c r="D14" s="100"/>
      <c r="E14" s="174"/>
      <c r="F14" s="172"/>
      <c r="G14" s="159">
        <f>('DON CHACHO'!D10)</f>
        <v>17590</v>
      </c>
      <c r="H14" s="164">
        <f t="shared" si="1"/>
        <v>0</v>
      </c>
      <c r="J14" s="20" t="s">
        <v>26</v>
      </c>
      <c r="K14" s="100"/>
      <c r="L14" s="100"/>
      <c r="M14" s="100"/>
      <c r="N14" s="172"/>
      <c r="O14" s="159">
        <f t="shared" si="7"/>
        <v>17590</v>
      </c>
      <c r="P14" s="164">
        <f t="shared" si="2"/>
        <v>0</v>
      </c>
      <c r="R14" s="20" t="s">
        <v>26</v>
      </c>
      <c r="S14" s="100"/>
      <c r="T14" s="100"/>
      <c r="U14" s="100"/>
      <c r="V14" s="172"/>
      <c r="W14" s="159">
        <f t="shared" si="3"/>
        <v>17590</v>
      </c>
      <c r="X14" s="164">
        <f t="shared" si="4"/>
        <v>0</v>
      </c>
      <c r="Z14" s="20" t="s">
        <v>26</v>
      </c>
      <c r="AA14" s="100"/>
      <c r="AB14" s="100"/>
      <c r="AC14" s="100"/>
      <c r="AD14" s="172"/>
      <c r="AE14" s="159">
        <f t="shared" si="5"/>
        <v>17590</v>
      </c>
      <c r="AF14" s="164">
        <f t="shared" si="6"/>
        <v>0</v>
      </c>
    </row>
    <row r="15">
      <c r="B15" s="169" t="s">
        <v>136</v>
      </c>
      <c r="C15" s="100">
        <v>154.1</v>
      </c>
      <c r="D15" s="100"/>
      <c r="E15" s="174"/>
      <c r="F15" s="168"/>
      <c r="G15" s="159">
        <v>7700.0</v>
      </c>
      <c r="H15" s="164">
        <f t="shared" si="1"/>
        <v>1186570</v>
      </c>
      <c r="J15" s="165" t="s">
        <v>136</v>
      </c>
      <c r="K15" s="167">
        <v>183.8</v>
      </c>
      <c r="L15" s="167"/>
      <c r="M15" s="167"/>
      <c r="N15" s="168"/>
      <c r="O15" s="159">
        <f t="shared" si="7"/>
        <v>7700</v>
      </c>
      <c r="P15" s="164">
        <f t="shared" si="2"/>
        <v>1415260</v>
      </c>
      <c r="R15" s="165" t="s">
        <v>136</v>
      </c>
      <c r="S15" s="167"/>
      <c r="T15" s="167"/>
      <c r="U15" s="167"/>
      <c r="V15" s="168"/>
      <c r="W15" s="159">
        <f t="shared" si="3"/>
        <v>7700</v>
      </c>
      <c r="X15" s="164">
        <f t="shared" si="4"/>
        <v>0</v>
      </c>
      <c r="Z15" s="165" t="s">
        <v>136</v>
      </c>
      <c r="AA15" s="167">
        <v>37.5</v>
      </c>
      <c r="AB15" s="167">
        <v>34.0</v>
      </c>
      <c r="AC15" s="167">
        <v>30.5</v>
      </c>
      <c r="AD15" s="168">
        <v>31.0</v>
      </c>
      <c r="AE15" s="159">
        <f t="shared" si="5"/>
        <v>7700</v>
      </c>
      <c r="AF15" s="164">
        <f t="shared" si="6"/>
        <v>1024100</v>
      </c>
    </row>
    <row r="16">
      <c r="B16" s="136" t="s">
        <v>28</v>
      </c>
      <c r="C16" s="100"/>
      <c r="D16" s="100"/>
      <c r="E16" s="174"/>
      <c r="F16" s="172"/>
      <c r="G16" s="159">
        <f>('DON CHACHO'!D11)</f>
        <v>15900</v>
      </c>
      <c r="H16" s="164">
        <f t="shared" si="1"/>
        <v>0</v>
      </c>
      <c r="J16" s="20" t="s">
        <v>28</v>
      </c>
      <c r="K16" s="100"/>
      <c r="L16" s="100"/>
      <c r="M16" s="100"/>
      <c r="N16" s="172"/>
      <c r="O16" s="159">
        <f t="shared" si="7"/>
        <v>15900</v>
      </c>
      <c r="P16" s="164">
        <f t="shared" si="2"/>
        <v>0</v>
      </c>
      <c r="R16" s="20" t="s">
        <v>28</v>
      </c>
      <c r="S16" s="100">
        <v>14.4</v>
      </c>
      <c r="T16" s="100"/>
      <c r="U16" s="100"/>
      <c r="V16" s="172"/>
      <c r="W16" s="159">
        <f t="shared" si="3"/>
        <v>15900</v>
      </c>
      <c r="X16" s="164">
        <f t="shared" si="4"/>
        <v>228960</v>
      </c>
      <c r="Z16" s="20" t="s">
        <v>28</v>
      </c>
      <c r="AA16" s="100"/>
      <c r="AB16" s="100"/>
      <c r="AC16" s="100"/>
      <c r="AD16" s="172"/>
      <c r="AE16" s="159">
        <f t="shared" si="5"/>
        <v>15900</v>
      </c>
      <c r="AF16" s="164">
        <f t="shared" si="6"/>
        <v>0</v>
      </c>
    </row>
    <row r="17">
      <c r="B17" s="136" t="s">
        <v>30</v>
      </c>
      <c r="C17" s="100"/>
      <c r="D17" s="100"/>
      <c r="E17" s="174"/>
      <c r="F17" s="172"/>
      <c r="G17" s="159">
        <f>('DON CHACHO'!D12)</f>
        <v>19900</v>
      </c>
      <c r="H17" s="164">
        <f t="shared" si="1"/>
        <v>0</v>
      </c>
      <c r="J17" s="20" t="s">
        <v>30</v>
      </c>
      <c r="K17" s="100"/>
      <c r="L17" s="100"/>
      <c r="M17" s="100"/>
      <c r="N17" s="172"/>
      <c r="O17" s="159">
        <f t="shared" si="7"/>
        <v>19900</v>
      </c>
      <c r="P17" s="164">
        <f t="shared" si="2"/>
        <v>0</v>
      </c>
      <c r="R17" s="20" t="s">
        <v>30</v>
      </c>
      <c r="S17" s="100"/>
      <c r="T17" s="100"/>
      <c r="U17" s="100"/>
      <c r="V17" s="172"/>
      <c r="W17" s="159">
        <f t="shared" si="3"/>
        <v>19900</v>
      </c>
      <c r="X17" s="164">
        <f t="shared" si="4"/>
        <v>0</v>
      </c>
      <c r="Z17" s="20" t="s">
        <v>30</v>
      </c>
      <c r="AA17" s="100"/>
      <c r="AB17" s="100"/>
      <c r="AC17" s="100"/>
      <c r="AD17" s="172"/>
      <c r="AE17" s="159">
        <f t="shared" si="5"/>
        <v>19900</v>
      </c>
      <c r="AF17" s="164">
        <f t="shared" si="6"/>
        <v>0</v>
      </c>
    </row>
    <row r="18">
      <c r="B18" s="20" t="s">
        <v>32</v>
      </c>
      <c r="C18" s="177">
        <v>192.0</v>
      </c>
      <c r="D18" s="162">
        <v>11.0</v>
      </c>
      <c r="E18" s="167"/>
      <c r="F18" s="172"/>
      <c r="G18" s="159">
        <f>('DON CHACHO'!D13)</f>
        <v>17900</v>
      </c>
      <c r="H18" s="164">
        <f t="shared" si="1"/>
        <v>3633700</v>
      </c>
      <c r="J18" s="20" t="s">
        <v>32</v>
      </c>
      <c r="K18" s="100">
        <v>23.7</v>
      </c>
      <c r="L18" s="100">
        <v>1.4</v>
      </c>
      <c r="M18" s="100"/>
      <c r="N18" s="172"/>
      <c r="O18" s="159">
        <f t="shared" si="7"/>
        <v>17900</v>
      </c>
      <c r="P18" s="164">
        <f t="shared" si="2"/>
        <v>449290</v>
      </c>
      <c r="R18" s="20" t="s">
        <v>32</v>
      </c>
      <c r="S18" s="100">
        <v>5.7</v>
      </c>
      <c r="T18" s="100">
        <v>2.9</v>
      </c>
      <c r="U18" s="100"/>
      <c r="V18" s="172"/>
      <c r="W18" s="159">
        <f t="shared" si="3"/>
        <v>17900</v>
      </c>
      <c r="X18" s="164">
        <f t="shared" si="4"/>
        <v>153940</v>
      </c>
      <c r="Z18" s="20" t="s">
        <v>32</v>
      </c>
      <c r="AA18" s="100">
        <v>15.0</v>
      </c>
      <c r="AB18" s="100">
        <v>38.0</v>
      </c>
      <c r="AC18" s="100">
        <v>2.7</v>
      </c>
      <c r="AD18" s="172"/>
      <c r="AE18" s="159">
        <f t="shared" si="5"/>
        <v>17900</v>
      </c>
      <c r="AF18" s="164">
        <f t="shared" si="6"/>
        <v>997030</v>
      </c>
    </row>
    <row r="19">
      <c r="B19" s="20" t="s">
        <v>34</v>
      </c>
      <c r="C19" s="100">
        <v>18.0</v>
      </c>
      <c r="D19" s="100">
        <v>1.0</v>
      </c>
      <c r="E19" s="100"/>
      <c r="F19" s="172"/>
      <c r="G19" s="159">
        <f>('DON CHACHO'!D14)</f>
        <v>23830</v>
      </c>
      <c r="H19" s="164">
        <f t="shared" si="1"/>
        <v>452770</v>
      </c>
      <c r="J19" s="20" t="s">
        <v>34</v>
      </c>
      <c r="K19" s="100">
        <v>3.3</v>
      </c>
      <c r="L19" s="100"/>
      <c r="M19" s="100"/>
      <c r="N19" s="172"/>
      <c r="O19" s="159">
        <f t="shared" si="7"/>
        <v>23830</v>
      </c>
      <c r="P19" s="164">
        <f t="shared" si="2"/>
        <v>78639</v>
      </c>
      <c r="R19" s="20" t="s">
        <v>34</v>
      </c>
      <c r="S19" s="100"/>
      <c r="T19" s="100"/>
      <c r="U19" s="100"/>
      <c r="V19" s="172"/>
      <c r="W19" s="159">
        <f t="shared" si="3"/>
        <v>23830</v>
      </c>
      <c r="X19" s="164">
        <f t="shared" si="4"/>
        <v>0</v>
      </c>
      <c r="Z19" s="20" t="s">
        <v>34</v>
      </c>
      <c r="AA19" s="100">
        <v>1.0</v>
      </c>
      <c r="AB19" s="100"/>
      <c r="AC19" s="100"/>
      <c r="AD19" s="172"/>
      <c r="AE19" s="159">
        <f t="shared" si="5"/>
        <v>23830</v>
      </c>
      <c r="AF19" s="164">
        <f t="shared" si="6"/>
        <v>23830</v>
      </c>
    </row>
    <row r="20">
      <c r="B20" s="20" t="s">
        <v>36</v>
      </c>
      <c r="C20" s="100"/>
      <c r="D20" s="100"/>
      <c r="E20" s="100"/>
      <c r="F20" s="172"/>
      <c r="G20" s="159">
        <f>('DON CHACHO'!D15)</f>
        <v>24850</v>
      </c>
      <c r="H20" s="164">
        <f t="shared" si="1"/>
        <v>0</v>
      </c>
      <c r="J20" s="20" t="s">
        <v>36</v>
      </c>
      <c r="K20" s="100">
        <v>2.8</v>
      </c>
      <c r="L20" s="100"/>
      <c r="M20" s="100"/>
      <c r="N20" s="172"/>
      <c r="O20" s="159">
        <f t="shared" si="7"/>
        <v>24850</v>
      </c>
      <c r="P20" s="164">
        <f t="shared" si="2"/>
        <v>69580</v>
      </c>
      <c r="R20" s="20" t="s">
        <v>36</v>
      </c>
      <c r="S20" s="100"/>
      <c r="T20" s="100"/>
      <c r="U20" s="100"/>
      <c r="V20" s="172"/>
      <c r="W20" s="159">
        <f t="shared" si="3"/>
        <v>24850</v>
      </c>
      <c r="X20" s="164">
        <f t="shared" si="4"/>
        <v>0</v>
      </c>
      <c r="Z20" s="20" t="s">
        <v>36</v>
      </c>
      <c r="AA20" s="100"/>
      <c r="AB20" s="100"/>
      <c r="AC20" s="100"/>
      <c r="AD20" s="172"/>
      <c r="AE20" s="159">
        <f t="shared" si="5"/>
        <v>24850</v>
      </c>
      <c r="AF20" s="164">
        <f t="shared" si="6"/>
        <v>0</v>
      </c>
    </row>
    <row r="21" ht="15.75" customHeight="1">
      <c r="B21" s="20" t="s">
        <v>38</v>
      </c>
      <c r="C21" s="100">
        <v>25.0</v>
      </c>
      <c r="D21" s="100"/>
      <c r="E21" s="100"/>
      <c r="F21" s="172"/>
      <c r="G21" s="159">
        <f>('DON CHACHO'!D16)</f>
        <v>24850</v>
      </c>
      <c r="H21" s="164">
        <f t="shared" si="1"/>
        <v>621250</v>
      </c>
      <c r="J21" s="20" t="s">
        <v>38</v>
      </c>
      <c r="K21" s="100">
        <v>12.2</v>
      </c>
      <c r="L21" s="100"/>
      <c r="M21" s="100"/>
      <c r="N21" s="172"/>
      <c r="O21" s="159">
        <f t="shared" si="7"/>
        <v>24850</v>
      </c>
      <c r="P21" s="164">
        <f t="shared" si="2"/>
        <v>303170</v>
      </c>
      <c r="R21" s="20" t="s">
        <v>38</v>
      </c>
      <c r="S21" s="100">
        <v>4.8</v>
      </c>
      <c r="T21" s="100"/>
      <c r="U21" s="100"/>
      <c r="V21" s="172"/>
      <c r="W21" s="159">
        <f t="shared" si="3"/>
        <v>24850</v>
      </c>
      <c r="X21" s="164">
        <f t="shared" si="4"/>
        <v>119280</v>
      </c>
      <c r="Z21" s="20" t="s">
        <v>38</v>
      </c>
      <c r="AA21" s="100">
        <v>6.0</v>
      </c>
      <c r="AB21" s="100">
        <v>8.9</v>
      </c>
      <c r="AC21" s="100"/>
      <c r="AD21" s="172"/>
      <c r="AE21" s="159">
        <f t="shared" si="5"/>
        <v>24850</v>
      </c>
      <c r="AF21" s="164">
        <f t="shared" si="6"/>
        <v>370265</v>
      </c>
    </row>
    <row r="22" ht="15.75" customHeight="1">
      <c r="B22" s="20" t="s">
        <v>40</v>
      </c>
      <c r="C22" s="100">
        <v>15.0</v>
      </c>
      <c r="D22" s="100">
        <v>1.1</v>
      </c>
      <c r="E22" s="100"/>
      <c r="F22" s="172"/>
      <c r="G22" s="159">
        <f>('DON CHACHO'!D17)</f>
        <v>20850</v>
      </c>
      <c r="H22" s="164">
        <f t="shared" si="1"/>
        <v>335685</v>
      </c>
      <c r="J22" s="20" t="s">
        <v>40</v>
      </c>
      <c r="K22" s="100">
        <v>3.6</v>
      </c>
      <c r="L22" s="100"/>
      <c r="M22" s="100"/>
      <c r="N22" s="172"/>
      <c r="O22" s="159">
        <f t="shared" si="7"/>
        <v>20850</v>
      </c>
      <c r="P22" s="164">
        <f t="shared" si="2"/>
        <v>75060</v>
      </c>
      <c r="R22" s="20" t="s">
        <v>40</v>
      </c>
      <c r="S22" s="100">
        <v>1.38</v>
      </c>
      <c r="T22" s="100">
        <v>2.94</v>
      </c>
      <c r="U22" s="100"/>
      <c r="V22" s="172"/>
      <c r="W22" s="159">
        <f t="shared" si="3"/>
        <v>20850</v>
      </c>
      <c r="X22" s="164">
        <f t="shared" si="4"/>
        <v>90072</v>
      </c>
      <c r="Z22" s="20" t="s">
        <v>40</v>
      </c>
      <c r="AA22" s="100">
        <v>3.5</v>
      </c>
      <c r="AB22" s="100">
        <v>7.8</v>
      </c>
      <c r="AC22" s="100"/>
      <c r="AD22" s="172"/>
      <c r="AE22" s="159">
        <f t="shared" si="5"/>
        <v>20850</v>
      </c>
      <c r="AF22" s="164">
        <f t="shared" si="6"/>
        <v>235605</v>
      </c>
    </row>
    <row r="23" ht="15.75" customHeight="1">
      <c r="B23" s="20" t="s">
        <v>42</v>
      </c>
      <c r="C23" s="100">
        <v>6.5</v>
      </c>
      <c r="D23" s="100"/>
      <c r="E23" s="100"/>
      <c r="F23" s="172"/>
      <c r="G23" s="159">
        <f>('DON CHACHO'!D18)</f>
        <v>22190</v>
      </c>
      <c r="H23" s="164">
        <f t="shared" si="1"/>
        <v>144235</v>
      </c>
      <c r="J23" s="20" t="s">
        <v>42</v>
      </c>
      <c r="K23" s="100">
        <v>7.0</v>
      </c>
      <c r="L23" s="100"/>
      <c r="M23" s="100"/>
      <c r="N23" s="172"/>
      <c r="O23" s="159">
        <f t="shared" si="7"/>
        <v>22190</v>
      </c>
      <c r="P23" s="164">
        <f t="shared" si="2"/>
        <v>155330</v>
      </c>
      <c r="R23" s="20" t="s">
        <v>42</v>
      </c>
      <c r="S23" s="100">
        <v>2.44</v>
      </c>
      <c r="T23" s="100"/>
      <c r="U23" s="100"/>
      <c r="V23" s="172"/>
      <c r="W23" s="159">
        <f t="shared" si="3"/>
        <v>22190</v>
      </c>
      <c r="X23" s="164">
        <f t="shared" si="4"/>
        <v>54143.6</v>
      </c>
      <c r="Z23" s="20" t="s">
        <v>42</v>
      </c>
      <c r="AA23" s="100">
        <v>3.0</v>
      </c>
      <c r="AB23" s="100">
        <v>1.6</v>
      </c>
      <c r="AC23" s="100"/>
      <c r="AD23" s="172"/>
      <c r="AE23" s="159">
        <f t="shared" si="5"/>
        <v>22190</v>
      </c>
      <c r="AF23" s="164">
        <f t="shared" si="6"/>
        <v>102074</v>
      </c>
    </row>
    <row r="24" ht="15.75" customHeight="1">
      <c r="B24" s="20" t="s">
        <v>44</v>
      </c>
      <c r="C24" s="100"/>
      <c r="D24" s="100"/>
      <c r="E24" s="100"/>
      <c r="F24" s="172"/>
      <c r="G24" s="159">
        <f>('DON CHACHO'!D19)</f>
        <v>19750</v>
      </c>
      <c r="H24" s="164">
        <f t="shared" si="1"/>
        <v>0</v>
      </c>
      <c r="J24" s="20" t="s">
        <v>44</v>
      </c>
      <c r="K24" s="100">
        <v>1.3</v>
      </c>
      <c r="L24" s="100"/>
      <c r="M24" s="100"/>
      <c r="N24" s="172"/>
      <c r="O24" s="159">
        <f t="shared" si="7"/>
        <v>19750</v>
      </c>
      <c r="P24" s="164">
        <f t="shared" si="2"/>
        <v>25675</v>
      </c>
      <c r="R24" s="20" t="s">
        <v>44</v>
      </c>
      <c r="S24" s="100">
        <v>5.66</v>
      </c>
      <c r="T24" s="100"/>
      <c r="U24" s="100"/>
      <c r="V24" s="172"/>
      <c r="W24" s="159">
        <f t="shared" si="3"/>
        <v>19750</v>
      </c>
      <c r="X24" s="164">
        <f t="shared" si="4"/>
        <v>111785</v>
      </c>
      <c r="Z24" s="20" t="s">
        <v>44</v>
      </c>
      <c r="AA24" s="100">
        <v>1.3</v>
      </c>
      <c r="AB24" s="100"/>
      <c r="AC24" s="100"/>
      <c r="AD24" s="172"/>
      <c r="AE24" s="159">
        <f t="shared" si="5"/>
        <v>19750</v>
      </c>
      <c r="AF24" s="164">
        <f t="shared" si="6"/>
        <v>25675</v>
      </c>
    </row>
    <row r="25" ht="15.75" customHeight="1">
      <c r="B25" s="20" t="s">
        <v>46</v>
      </c>
      <c r="C25" s="100">
        <v>12.0</v>
      </c>
      <c r="D25" s="100"/>
      <c r="E25" s="100"/>
      <c r="F25" s="172"/>
      <c r="G25" s="159">
        <f>('DON CHACHO'!D20)</f>
        <v>19750</v>
      </c>
      <c r="H25" s="164">
        <f t="shared" si="1"/>
        <v>237000</v>
      </c>
      <c r="J25" s="20" t="s">
        <v>46</v>
      </c>
      <c r="K25" s="100"/>
      <c r="L25" s="100"/>
      <c r="M25" s="100"/>
      <c r="N25" s="172"/>
      <c r="O25" s="159">
        <f t="shared" si="7"/>
        <v>19750</v>
      </c>
      <c r="P25" s="164">
        <f t="shared" si="2"/>
        <v>0</v>
      </c>
      <c r="R25" s="20" t="s">
        <v>46</v>
      </c>
      <c r="S25" s="100">
        <v>6.2</v>
      </c>
      <c r="T25" s="100"/>
      <c r="U25" s="100"/>
      <c r="V25" s="172"/>
      <c r="W25" s="159">
        <f t="shared" si="3"/>
        <v>19750</v>
      </c>
      <c r="X25" s="164">
        <f t="shared" si="4"/>
        <v>122450</v>
      </c>
      <c r="Z25" s="20" t="s">
        <v>46</v>
      </c>
      <c r="AA25" s="100"/>
      <c r="AB25" s="100"/>
      <c r="AC25" s="100"/>
      <c r="AD25" s="172"/>
      <c r="AE25" s="159">
        <f t="shared" si="5"/>
        <v>19750</v>
      </c>
      <c r="AF25" s="164">
        <f t="shared" si="6"/>
        <v>0</v>
      </c>
    </row>
    <row r="26" ht="15.75" customHeight="1">
      <c r="B26" s="20" t="s">
        <v>48</v>
      </c>
      <c r="C26" s="100"/>
      <c r="D26" s="100"/>
      <c r="E26" s="100"/>
      <c r="F26" s="172"/>
      <c r="G26" s="159">
        <f>('DON CHACHO'!D21)</f>
        <v>18950</v>
      </c>
      <c r="H26" s="164">
        <f t="shared" si="1"/>
        <v>0</v>
      </c>
      <c r="J26" s="20" t="s">
        <v>48</v>
      </c>
      <c r="K26" s="100"/>
      <c r="L26" s="100"/>
      <c r="M26" s="100"/>
      <c r="N26" s="172"/>
      <c r="O26" s="159">
        <f t="shared" si="7"/>
        <v>18950</v>
      </c>
      <c r="P26" s="164">
        <f t="shared" si="2"/>
        <v>0</v>
      </c>
      <c r="R26" s="20" t="s">
        <v>48</v>
      </c>
      <c r="S26" s="100"/>
      <c r="T26" s="100"/>
      <c r="U26" s="100"/>
      <c r="V26" s="172"/>
      <c r="W26" s="159">
        <f t="shared" si="3"/>
        <v>18950</v>
      </c>
      <c r="X26" s="164">
        <f t="shared" si="4"/>
        <v>0</v>
      </c>
      <c r="Z26" s="20" t="s">
        <v>48</v>
      </c>
      <c r="AA26" s="100">
        <v>10.0</v>
      </c>
      <c r="AB26" s="100"/>
      <c r="AC26" s="100"/>
      <c r="AD26" s="172"/>
      <c r="AE26" s="159">
        <f t="shared" si="5"/>
        <v>18950</v>
      </c>
      <c r="AF26" s="164">
        <f t="shared" si="6"/>
        <v>189500</v>
      </c>
    </row>
    <row r="27" ht="15.75" customHeight="1">
      <c r="B27" s="20" t="s">
        <v>50</v>
      </c>
      <c r="C27" s="100"/>
      <c r="D27" s="100"/>
      <c r="E27" s="100"/>
      <c r="F27" s="172"/>
      <c r="G27" s="159">
        <f>('DON CHACHO'!D22)</f>
        <v>15380</v>
      </c>
      <c r="H27" s="164">
        <f t="shared" si="1"/>
        <v>0</v>
      </c>
      <c r="J27" s="20" t="s">
        <v>50</v>
      </c>
      <c r="K27" s="100"/>
      <c r="L27" s="100"/>
      <c r="M27" s="100"/>
      <c r="N27" s="172"/>
      <c r="O27" s="159">
        <f t="shared" si="7"/>
        <v>15380</v>
      </c>
      <c r="P27" s="164">
        <f t="shared" si="2"/>
        <v>0</v>
      </c>
      <c r="R27" s="20" t="s">
        <v>50</v>
      </c>
      <c r="S27" s="100">
        <v>1.4</v>
      </c>
      <c r="T27" s="100"/>
      <c r="U27" s="100"/>
      <c r="V27" s="172"/>
      <c r="W27" s="159">
        <f t="shared" si="3"/>
        <v>15380</v>
      </c>
      <c r="X27" s="164">
        <f t="shared" si="4"/>
        <v>21532</v>
      </c>
      <c r="Z27" s="20" t="s">
        <v>50</v>
      </c>
      <c r="AA27" s="100"/>
      <c r="AB27" s="100"/>
      <c r="AC27" s="100"/>
      <c r="AD27" s="172"/>
      <c r="AE27" s="159">
        <f t="shared" si="5"/>
        <v>15380</v>
      </c>
      <c r="AF27" s="164">
        <f t="shared" si="6"/>
        <v>0</v>
      </c>
    </row>
    <row r="28" ht="15.75" customHeight="1">
      <c r="B28" s="20" t="s">
        <v>52</v>
      </c>
      <c r="C28" s="100"/>
      <c r="D28" s="100"/>
      <c r="E28" s="100"/>
      <c r="F28" s="172"/>
      <c r="G28" s="159">
        <f>('DON CHACHO'!D23)</f>
        <v>15380</v>
      </c>
      <c r="H28" s="164">
        <f t="shared" si="1"/>
        <v>0</v>
      </c>
      <c r="J28" s="20" t="s">
        <v>52</v>
      </c>
      <c r="K28" s="100">
        <v>2.0</v>
      </c>
      <c r="L28" s="100"/>
      <c r="M28" s="100"/>
      <c r="N28" s="172"/>
      <c r="O28" s="159">
        <f t="shared" si="7"/>
        <v>15380</v>
      </c>
      <c r="P28" s="164">
        <f t="shared" si="2"/>
        <v>30760</v>
      </c>
      <c r="R28" s="20" t="s">
        <v>52</v>
      </c>
      <c r="S28" s="100"/>
      <c r="T28" s="100"/>
      <c r="U28" s="100"/>
      <c r="V28" s="172"/>
      <c r="W28" s="159">
        <f t="shared" si="3"/>
        <v>15380</v>
      </c>
      <c r="X28" s="164">
        <f t="shared" si="4"/>
        <v>0</v>
      </c>
      <c r="Z28" s="20" t="s">
        <v>52</v>
      </c>
      <c r="AA28" s="100"/>
      <c r="AB28" s="100"/>
      <c r="AC28" s="100"/>
      <c r="AD28" s="172"/>
      <c r="AE28" s="159">
        <f t="shared" si="5"/>
        <v>15380</v>
      </c>
      <c r="AF28" s="164">
        <f t="shared" si="6"/>
        <v>0</v>
      </c>
    </row>
    <row r="29" ht="15.75" customHeight="1">
      <c r="B29" s="20" t="s">
        <v>54</v>
      </c>
      <c r="C29" s="100"/>
      <c r="D29" s="100"/>
      <c r="E29" s="100"/>
      <c r="F29" s="172"/>
      <c r="G29" s="159">
        <f>('DON CHACHO'!D24)</f>
        <v>11950</v>
      </c>
      <c r="H29" s="164">
        <f t="shared" si="1"/>
        <v>0</v>
      </c>
      <c r="J29" s="20" t="s">
        <v>54</v>
      </c>
      <c r="K29" s="100"/>
      <c r="L29" s="100"/>
      <c r="M29" s="100"/>
      <c r="N29" s="172"/>
      <c r="O29" s="159">
        <f t="shared" si="7"/>
        <v>11950</v>
      </c>
      <c r="P29" s="164">
        <f t="shared" si="2"/>
        <v>0</v>
      </c>
      <c r="R29" s="20" t="s">
        <v>54</v>
      </c>
      <c r="S29" s="100">
        <v>7.9</v>
      </c>
      <c r="T29" s="100">
        <v>7.0</v>
      </c>
      <c r="U29" s="100">
        <v>2.6</v>
      </c>
      <c r="V29" s="172">
        <v>1.2</v>
      </c>
      <c r="W29" s="159">
        <f t="shared" si="3"/>
        <v>11950</v>
      </c>
      <c r="X29" s="164">
        <f t="shared" si="4"/>
        <v>223465</v>
      </c>
      <c r="Z29" s="20" t="s">
        <v>54</v>
      </c>
      <c r="AA29" s="100"/>
      <c r="AB29" s="100"/>
      <c r="AC29" s="100"/>
      <c r="AD29" s="172"/>
      <c r="AE29" s="159">
        <f t="shared" si="5"/>
        <v>11950</v>
      </c>
      <c r="AF29" s="164">
        <f t="shared" si="6"/>
        <v>0</v>
      </c>
    </row>
    <row r="30" ht="15.75" customHeight="1">
      <c r="B30" s="20" t="s">
        <v>56</v>
      </c>
      <c r="C30" s="100"/>
      <c r="D30" s="100"/>
      <c r="E30" s="100"/>
      <c r="F30" s="172"/>
      <c r="G30" s="159">
        <f>('DON CHACHO'!D25)</f>
        <v>10400</v>
      </c>
      <c r="H30" s="164">
        <f t="shared" si="1"/>
        <v>0</v>
      </c>
      <c r="J30" s="20" t="s">
        <v>56</v>
      </c>
      <c r="K30" s="100">
        <v>1.8</v>
      </c>
      <c r="L30" s="100"/>
      <c r="M30" s="100"/>
      <c r="N30" s="172"/>
      <c r="O30" s="159">
        <f t="shared" si="7"/>
        <v>10400</v>
      </c>
      <c r="P30" s="164">
        <f t="shared" si="2"/>
        <v>18720</v>
      </c>
      <c r="R30" s="20" t="s">
        <v>56</v>
      </c>
      <c r="S30" s="100">
        <v>5.4</v>
      </c>
      <c r="T30" s="100">
        <v>8.8</v>
      </c>
      <c r="U30" s="100"/>
      <c r="V30" s="172"/>
      <c r="W30" s="159">
        <f t="shared" si="3"/>
        <v>10400</v>
      </c>
      <c r="X30" s="164">
        <f t="shared" si="4"/>
        <v>147680</v>
      </c>
      <c r="Z30" s="20" t="s">
        <v>56</v>
      </c>
      <c r="AA30" s="100">
        <v>2.5</v>
      </c>
      <c r="AB30" s="100"/>
      <c r="AC30" s="100"/>
      <c r="AD30" s="172"/>
      <c r="AE30" s="159">
        <f t="shared" si="5"/>
        <v>10400</v>
      </c>
      <c r="AF30" s="164">
        <f t="shared" si="6"/>
        <v>26000</v>
      </c>
    </row>
    <row r="31" ht="15.75" customHeight="1">
      <c r="B31" s="20" t="s">
        <v>58</v>
      </c>
      <c r="C31" s="100"/>
      <c r="D31" s="100"/>
      <c r="E31" s="100"/>
      <c r="F31" s="172"/>
      <c r="G31" s="159">
        <f>('DON CHACHO'!D26)</f>
        <v>10400</v>
      </c>
      <c r="H31" s="164">
        <f t="shared" si="1"/>
        <v>0</v>
      </c>
      <c r="J31" s="20" t="s">
        <v>58</v>
      </c>
      <c r="K31" s="100"/>
      <c r="L31" s="100"/>
      <c r="M31" s="100"/>
      <c r="N31" s="172"/>
      <c r="O31" s="159">
        <f t="shared" si="7"/>
        <v>10400</v>
      </c>
      <c r="P31" s="164">
        <f t="shared" si="2"/>
        <v>0</v>
      </c>
      <c r="R31" s="20" t="s">
        <v>58</v>
      </c>
      <c r="S31" s="100"/>
      <c r="T31" s="100"/>
      <c r="U31" s="100"/>
      <c r="V31" s="172"/>
      <c r="W31" s="159">
        <f t="shared" si="3"/>
        <v>10400</v>
      </c>
      <c r="X31" s="164">
        <f t="shared" si="4"/>
        <v>0</v>
      </c>
      <c r="Z31" s="20" t="s">
        <v>58</v>
      </c>
      <c r="AA31" s="100"/>
      <c r="AB31" s="100"/>
      <c r="AC31" s="100"/>
      <c r="AD31" s="172"/>
      <c r="AE31" s="159">
        <f t="shared" si="5"/>
        <v>10400</v>
      </c>
      <c r="AF31" s="164">
        <f t="shared" si="6"/>
        <v>0</v>
      </c>
    </row>
    <row r="32" ht="15.75" customHeight="1">
      <c r="B32" s="20" t="s">
        <v>60</v>
      </c>
      <c r="C32" s="100">
        <v>1.5</v>
      </c>
      <c r="D32" s="100"/>
      <c r="E32" s="100"/>
      <c r="F32" s="172"/>
      <c r="G32" s="159">
        <f>('DON CHACHO'!D27)</f>
        <v>9975</v>
      </c>
      <c r="H32" s="164">
        <f t="shared" si="1"/>
        <v>14962.5</v>
      </c>
      <c r="J32" s="20" t="s">
        <v>60</v>
      </c>
      <c r="K32" s="100"/>
      <c r="L32" s="100"/>
      <c r="M32" s="100"/>
      <c r="N32" s="172"/>
      <c r="O32" s="159">
        <f t="shared" si="7"/>
        <v>9975</v>
      </c>
      <c r="P32" s="164">
        <f t="shared" si="2"/>
        <v>0</v>
      </c>
      <c r="R32" s="20" t="s">
        <v>60</v>
      </c>
      <c r="S32" s="100"/>
      <c r="T32" s="100"/>
      <c r="U32" s="100"/>
      <c r="V32" s="172"/>
      <c r="W32" s="159">
        <f t="shared" si="3"/>
        <v>9975</v>
      </c>
      <c r="X32" s="164">
        <f t="shared" si="4"/>
        <v>0</v>
      </c>
      <c r="Z32" s="20" t="s">
        <v>60</v>
      </c>
      <c r="AA32" s="100"/>
      <c r="AB32" s="100"/>
      <c r="AC32" s="100"/>
      <c r="AD32" s="172"/>
      <c r="AE32" s="159">
        <f t="shared" si="5"/>
        <v>9975</v>
      </c>
      <c r="AF32" s="164">
        <f t="shared" si="6"/>
        <v>0</v>
      </c>
    </row>
    <row r="33" ht="15.75" customHeight="1">
      <c r="B33" s="20" t="s">
        <v>62</v>
      </c>
      <c r="C33" s="100">
        <v>6.4</v>
      </c>
      <c r="D33" s="100"/>
      <c r="E33" s="100"/>
      <c r="F33" s="172"/>
      <c r="G33" s="159">
        <f>('DON CHACHO'!D28)</f>
        <v>3000</v>
      </c>
      <c r="H33" s="164">
        <f t="shared" si="1"/>
        <v>19200</v>
      </c>
      <c r="J33" s="20" t="s">
        <v>62</v>
      </c>
      <c r="K33" s="100"/>
      <c r="L33" s="100"/>
      <c r="M33" s="100"/>
      <c r="N33" s="172"/>
      <c r="O33" s="159">
        <f t="shared" si="7"/>
        <v>3000</v>
      </c>
      <c r="P33" s="164">
        <f t="shared" si="2"/>
        <v>0</v>
      </c>
      <c r="R33" s="20" t="s">
        <v>62</v>
      </c>
      <c r="S33" s="100">
        <v>15.4</v>
      </c>
      <c r="T33" s="100">
        <v>2.6</v>
      </c>
      <c r="U33" s="100">
        <v>3.5</v>
      </c>
      <c r="V33" s="172"/>
      <c r="W33" s="159">
        <f t="shared" si="3"/>
        <v>3000</v>
      </c>
      <c r="X33" s="164">
        <f t="shared" si="4"/>
        <v>64500</v>
      </c>
      <c r="Z33" s="20" t="s">
        <v>62</v>
      </c>
      <c r="AA33" s="100">
        <v>2.3</v>
      </c>
      <c r="AB33" s="100"/>
      <c r="AC33" s="100"/>
      <c r="AD33" s="172"/>
      <c r="AE33" s="159">
        <f t="shared" si="5"/>
        <v>3000</v>
      </c>
      <c r="AF33" s="164">
        <f t="shared" si="6"/>
        <v>6900</v>
      </c>
    </row>
    <row r="34" ht="15.75" customHeight="1">
      <c r="B34" s="20" t="s">
        <v>64</v>
      </c>
      <c r="C34" s="100"/>
      <c r="D34" s="100"/>
      <c r="E34" s="100"/>
      <c r="F34" s="172"/>
      <c r="G34" s="159">
        <f>('DON CHACHO'!D29)</f>
        <v>7500</v>
      </c>
      <c r="H34" s="164">
        <f t="shared" si="1"/>
        <v>0</v>
      </c>
      <c r="J34" s="20" t="s">
        <v>64</v>
      </c>
      <c r="K34" s="100"/>
      <c r="L34" s="100"/>
      <c r="M34" s="100"/>
      <c r="N34" s="172"/>
      <c r="O34" s="159">
        <f t="shared" si="7"/>
        <v>7500</v>
      </c>
      <c r="P34" s="164">
        <f t="shared" si="2"/>
        <v>0</v>
      </c>
      <c r="R34" s="20" t="s">
        <v>64</v>
      </c>
      <c r="S34" s="100"/>
      <c r="T34" s="100"/>
      <c r="U34" s="100"/>
      <c r="V34" s="172"/>
      <c r="W34" s="159">
        <f t="shared" si="3"/>
        <v>7500</v>
      </c>
      <c r="X34" s="164">
        <f t="shared" si="4"/>
        <v>0</v>
      </c>
      <c r="Z34" s="20" t="s">
        <v>64</v>
      </c>
      <c r="AA34" s="100"/>
      <c r="AB34" s="100"/>
      <c r="AC34" s="100"/>
      <c r="AD34" s="172"/>
      <c r="AE34" s="159">
        <f t="shared" si="5"/>
        <v>7500</v>
      </c>
      <c r="AF34" s="164">
        <f t="shared" si="6"/>
        <v>0</v>
      </c>
    </row>
    <row r="35" ht="15.75" customHeight="1">
      <c r="B35" s="20" t="s">
        <v>66</v>
      </c>
      <c r="C35" s="100">
        <v>25.0</v>
      </c>
      <c r="D35" s="100"/>
      <c r="E35" s="100"/>
      <c r="F35" s="172"/>
      <c r="G35" s="159">
        <f>('DON CHACHO'!D30)</f>
        <v>12490</v>
      </c>
      <c r="H35" s="164">
        <f t="shared" si="1"/>
        <v>312250</v>
      </c>
      <c r="J35" s="20" t="s">
        <v>66</v>
      </c>
      <c r="K35" s="100"/>
      <c r="L35" s="100"/>
      <c r="M35" s="100"/>
      <c r="N35" s="172"/>
      <c r="O35" s="159">
        <f t="shared" si="7"/>
        <v>12490</v>
      </c>
      <c r="P35" s="164">
        <f t="shared" si="2"/>
        <v>0</v>
      </c>
      <c r="R35" s="20" t="s">
        <v>66</v>
      </c>
      <c r="S35" s="100">
        <v>2.8</v>
      </c>
      <c r="T35" s="100"/>
      <c r="U35" s="100"/>
      <c r="V35" s="172"/>
      <c r="W35" s="159">
        <f t="shared" si="3"/>
        <v>12490</v>
      </c>
      <c r="X35" s="164">
        <f t="shared" si="4"/>
        <v>34972</v>
      </c>
      <c r="Z35" s="20" t="s">
        <v>66</v>
      </c>
      <c r="AA35" s="100">
        <v>8.0</v>
      </c>
      <c r="AB35" s="100">
        <v>3.0</v>
      </c>
      <c r="AC35" s="100"/>
      <c r="AD35" s="172"/>
      <c r="AE35" s="159">
        <f t="shared" si="5"/>
        <v>12490</v>
      </c>
      <c r="AF35" s="164">
        <f t="shared" si="6"/>
        <v>137390</v>
      </c>
    </row>
    <row r="36" ht="15.75" customHeight="1">
      <c r="B36" s="20" t="s">
        <v>68</v>
      </c>
      <c r="C36" s="100">
        <v>90.0</v>
      </c>
      <c r="D36" s="100">
        <v>15.0</v>
      </c>
      <c r="E36" s="100">
        <v>5.0</v>
      </c>
      <c r="F36" s="172"/>
      <c r="G36" s="159">
        <f>('DON CHACHO'!D31)</f>
        <v>11850</v>
      </c>
      <c r="H36" s="164">
        <f t="shared" si="1"/>
        <v>1303500</v>
      </c>
      <c r="J36" s="20" t="s">
        <v>68</v>
      </c>
      <c r="K36" s="100">
        <v>14.4</v>
      </c>
      <c r="L36" s="100">
        <v>30.0</v>
      </c>
      <c r="M36" s="100"/>
      <c r="N36" s="172"/>
      <c r="O36" s="159">
        <f t="shared" si="7"/>
        <v>11850</v>
      </c>
      <c r="P36" s="164">
        <f t="shared" si="2"/>
        <v>526140</v>
      </c>
      <c r="R36" s="20" t="s">
        <v>68</v>
      </c>
      <c r="S36" s="170">
        <v>51.5</v>
      </c>
      <c r="T36" s="176">
        <v>9.1</v>
      </c>
      <c r="U36" s="100">
        <v>2.55</v>
      </c>
      <c r="V36" s="172"/>
      <c r="W36" s="159">
        <f t="shared" si="3"/>
        <v>11850</v>
      </c>
      <c r="X36" s="164">
        <f t="shared" si="4"/>
        <v>748327.5</v>
      </c>
      <c r="Z36" s="20" t="s">
        <v>68</v>
      </c>
      <c r="AA36" s="100">
        <v>35.0</v>
      </c>
      <c r="AB36" s="100">
        <v>1.2</v>
      </c>
      <c r="AC36" s="176">
        <v>0.4</v>
      </c>
      <c r="AD36" s="172"/>
      <c r="AE36" s="159">
        <f t="shared" si="5"/>
        <v>11850</v>
      </c>
      <c r="AF36" s="164">
        <f t="shared" si="6"/>
        <v>433710</v>
      </c>
    </row>
    <row r="37" ht="15.75" customHeight="1">
      <c r="B37" s="20" t="s">
        <v>70</v>
      </c>
      <c r="C37" s="100">
        <v>27.0</v>
      </c>
      <c r="D37" s="100">
        <v>4.0</v>
      </c>
      <c r="E37" s="100"/>
      <c r="F37" s="172"/>
      <c r="G37" s="159">
        <f>('DON CHACHO'!D32)</f>
        <v>11950</v>
      </c>
      <c r="H37" s="164">
        <f t="shared" si="1"/>
        <v>370450</v>
      </c>
      <c r="J37" s="20" t="s">
        <v>70</v>
      </c>
      <c r="K37" s="100">
        <v>6.9</v>
      </c>
      <c r="L37" s="100"/>
      <c r="M37" s="100"/>
      <c r="N37" s="172"/>
      <c r="O37" s="159">
        <f t="shared" si="7"/>
        <v>11950</v>
      </c>
      <c r="P37" s="164">
        <f t="shared" si="2"/>
        <v>82455</v>
      </c>
      <c r="R37" s="20" t="s">
        <v>70</v>
      </c>
      <c r="S37" s="176">
        <v>5.3</v>
      </c>
      <c r="T37" s="100">
        <v>1.6</v>
      </c>
      <c r="U37" s="100"/>
      <c r="V37" s="172"/>
      <c r="W37" s="159">
        <f t="shared" si="3"/>
        <v>11950</v>
      </c>
      <c r="X37" s="164">
        <f t="shared" si="4"/>
        <v>82455</v>
      </c>
      <c r="Z37" s="20" t="s">
        <v>70</v>
      </c>
      <c r="AA37" s="100">
        <v>23.0</v>
      </c>
      <c r="AB37" s="100">
        <v>1.5</v>
      </c>
      <c r="AC37" s="170"/>
      <c r="AD37" s="172"/>
      <c r="AE37" s="159">
        <f t="shared" si="5"/>
        <v>11950</v>
      </c>
      <c r="AF37" s="164">
        <f t="shared" si="6"/>
        <v>292775</v>
      </c>
    </row>
    <row r="38" ht="15.75" customHeight="1">
      <c r="B38" s="20" t="s">
        <v>72</v>
      </c>
      <c r="C38" s="100">
        <v>10.0</v>
      </c>
      <c r="D38" s="100"/>
      <c r="E38" s="100"/>
      <c r="F38" s="172"/>
      <c r="G38" s="159">
        <f>('DON CHACHO'!D33)</f>
        <v>12450</v>
      </c>
      <c r="H38" s="164">
        <f t="shared" si="1"/>
        <v>124500</v>
      </c>
      <c r="J38" s="20" t="s">
        <v>72</v>
      </c>
      <c r="K38" s="100">
        <v>35.0</v>
      </c>
      <c r="L38" s="100"/>
      <c r="M38" s="100"/>
      <c r="N38" s="172"/>
      <c r="O38" s="159">
        <f t="shared" si="7"/>
        <v>12450</v>
      </c>
      <c r="P38" s="164">
        <f t="shared" si="2"/>
        <v>435750</v>
      </c>
      <c r="R38" s="20" t="s">
        <v>72</v>
      </c>
      <c r="S38" s="100">
        <v>29.3</v>
      </c>
      <c r="T38" s="100"/>
      <c r="U38" s="100"/>
      <c r="V38" s="172"/>
      <c r="W38" s="159">
        <f t="shared" si="3"/>
        <v>12450</v>
      </c>
      <c r="X38" s="164">
        <f t="shared" si="4"/>
        <v>364785</v>
      </c>
      <c r="Z38" s="20" t="s">
        <v>72</v>
      </c>
      <c r="AA38" s="100"/>
      <c r="AB38" s="100"/>
      <c r="AC38" s="100"/>
      <c r="AD38" s="172"/>
      <c r="AE38" s="159">
        <f t="shared" si="5"/>
        <v>12450</v>
      </c>
      <c r="AF38" s="164">
        <f t="shared" si="6"/>
        <v>0</v>
      </c>
    </row>
    <row r="39" ht="15.75" customHeight="1">
      <c r="B39" s="20" t="s">
        <v>74</v>
      </c>
      <c r="C39" s="100"/>
      <c r="D39" s="100"/>
      <c r="E39" s="100"/>
      <c r="F39" s="172"/>
      <c r="G39" s="159">
        <f>('DON CHACHO'!D34)</f>
        <v>18500</v>
      </c>
      <c r="H39" s="164">
        <f t="shared" si="1"/>
        <v>0</v>
      </c>
      <c r="J39" s="20" t="s">
        <v>74</v>
      </c>
      <c r="K39" s="100"/>
      <c r="L39" s="100"/>
      <c r="M39" s="100"/>
      <c r="N39" s="172"/>
      <c r="O39" s="159">
        <f t="shared" si="7"/>
        <v>18500</v>
      </c>
      <c r="P39" s="164">
        <f t="shared" si="2"/>
        <v>0</v>
      </c>
      <c r="R39" s="20" t="s">
        <v>74</v>
      </c>
      <c r="S39" s="100">
        <v>2.8</v>
      </c>
      <c r="T39" s="100"/>
      <c r="U39" s="100"/>
      <c r="V39" s="172"/>
      <c r="W39" s="159">
        <f t="shared" si="3"/>
        <v>18500</v>
      </c>
      <c r="X39" s="164">
        <f t="shared" si="4"/>
        <v>51800</v>
      </c>
      <c r="Z39" s="20" t="s">
        <v>74</v>
      </c>
      <c r="AA39" s="100">
        <v>6.0</v>
      </c>
      <c r="AB39" s="100"/>
      <c r="AC39" s="100"/>
      <c r="AD39" s="172"/>
      <c r="AE39" s="159">
        <f t="shared" si="5"/>
        <v>18500</v>
      </c>
      <c r="AF39" s="164">
        <f t="shared" si="6"/>
        <v>111000</v>
      </c>
    </row>
    <row r="40" ht="15.75" customHeight="1">
      <c r="B40" s="20" t="s">
        <v>75</v>
      </c>
      <c r="C40" s="100"/>
      <c r="D40" s="100"/>
      <c r="E40" s="100"/>
      <c r="F40" s="172"/>
      <c r="G40" s="159">
        <f>('DON CHACHO'!D35)</f>
        <v>19850</v>
      </c>
      <c r="H40" s="164">
        <f t="shared" si="1"/>
        <v>0</v>
      </c>
      <c r="J40" s="20" t="s">
        <v>75</v>
      </c>
      <c r="K40" s="100"/>
      <c r="L40" s="100"/>
      <c r="M40" s="100"/>
      <c r="N40" s="172"/>
      <c r="O40" s="159">
        <f t="shared" si="7"/>
        <v>19850</v>
      </c>
      <c r="P40" s="164">
        <f t="shared" si="2"/>
        <v>0</v>
      </c>
      <c r="R40" s="20" t="s">
        <v>75</v>
      </c>
      <c r="S40" s="100"/>
      <c r="T40" s="100"/>
      <c r="U40" s="100"/>
      <c r="V40" s="172"/>
      <c r="W40" s="159">
        <f t="shared" si="3"/>
        <v>19850</v>
      </c>
      <c r="X40" s="164">
        <f t="shared" si="4"/>
        <v>0</v>
      </c>
      <c r="Z40" s="20" t="s">
        <v>75</v>
      </c>
      <c r="AA40" s="100"/>
      <c r="AB40" s="100"/>
      <c r="AC40" s="100"/>
      <c r="AD40" s="172"/>
      <c r="AE40" s="159">
        <f t="shared" si="5"/>
        <v>19850</v>
      </c>
      <c r="AF40" s="164">
        <f t="shared" si="6"/>
        <v>0</v>
      </c>
    </row>
    <row r="41" ht="15.75" customHeight="1">
      <c r="B41" s="86" t="s">
        <v>77</v>
      </c>
      <c r="C41" s="178"/>
      <c r="D41" s="178"/>
      <c r="E41" s="178"/>
      <c r="F41" s="179"/>
      <c r="G41" s="159">
        <f>('DON CHACHO'!D36)</f>
        <v>1400</v>
      </c>
      <c r="H41" s="164">
        <f t="shared" si="1"/>
        <v>0</v>
      </c>
      <c r="J41" s="86" t="s">
        <v>77</v>
      </c>
      <c r="K41" s="178"/>
      <c r="L41" s="178"/>
      <c r="M41" s="178"/>
      <c r="N41" s="179"/>
      <c r="O41" s="159">
        <f t="shared" si="7"/>
        <v>1400</v>
      </c>
      <c r="P41" s="164">
        <f t="shared" si="2"/>
        <v>0</v>
      </c>
      <c r="R41" s="86" t="s">
        <v>77</v>
      </c>
      <c r="S41" s="178"/>
      <c r="T41" s="178"/>
      <c r="U41" s="178"/>
      <c r="V41" s="179"/>
      <c r="W41" s="159">
        <f t="shared" si="3"/>
        <v>1400</v>
      </c>
      <c r="X41" s="164">
        <f t="shared" si="4"/>
        <v>0</v>
      </c>
      <c r="Z41" s="86" t="s">
        <v>77</v>
      </c>
      <c r="AA41" s="178"/>
      <c r="AB41" s="178"/>
      <c r="AC41" s="178"/>
      <c r="AD41" s="179"/>
      <c r="AE41" s="159">
        <f t="shared" si="5"/>
        <v>1400</v>
      </c>
      <c r="AF41" s="164">
        <f t="shared" si="6"/>
        <v>0</v>
      </c>
    </row>
    <row r="42" ht="15.75" customHeight="1">
      <c r="B42" s="158" t="s">
        <v>137</v>
      </c>
      <c r="C42" s="5"/>
      <c r="D42" s="5"/>
      <c r="E42" s="5"/>
      <c r="F42" s="6"/>
      <c r="G42" s="159"/>
      <c r="H42" s="160">
        <f>SUM(H43:H53)</f>
        <v>3469330</v>
      </c>
      <c r="J42" s="158" t="s">
        <v>137</v>
      </c>
      <c r="K42" s="5"/>
      <c r="L42" s="5"/>
      <c r="M42" s="5"/>
      <c r="N42" s="6"/>
      <c r="O42" s="159"/>
      <c r="P42" s="160">
        <f>SUM(P43:P53)</f>
        <v>1515080</v>
      </c>
      <c r="R42" s="158" t="s">
        <v>137</v>
      </c>
      <c r="S42" s="5"/>
      <c r="T42" s="5"/>
      <c r="U42" s="5"/>
      <c r="V42" s="6"/>
      <c r="W42" s="159"/>
      <c r="X42" s="160">
        <f>SUM(X43:X53)</f>
        <v>464066</v>
      </c>
      <c r="Z42" s="158" t="s">
        <v>137</v>
      </c>
      <c r="AA42" s="5"/>
      <c r="AB42" s="5"/>
      <c r="AC42" s="5"/>
      <c r="AD42" s="6"/>
      <c r="AE42" s="159"/>
      <c r="AF42" s="160">
        <f>SUM(AF43:AF53)</f>
        <v>1602800</v>
      </c>
    </row>
    <row r="43" ht="15.75" customHeight="1">
      <c r="B43" s="61" t="s">
        <v>138</v>
      </c>
      <c r="C43" s="177">
        <v>716.0</v>
      </c>
      <c r="D43" s="177"/>
      <c r="E43" s="177"/>
      <c r="F43" s="180"/>
      <c r="G43" s="159">
        <f>'DON CHACHO'!N49</f>
        <v>4000</v>
      </c>
      <c r="H43" s="164">
        <f t="shared" ref="H43:H53" si="8">(G43*SUM(C43:F43))</f>
        <v>2864000</v>
      </c>
      <c r="J43" s="61" t="s">
        <v>138</v>
      </c>
      <c r="K43" s="177">
        <v>273.0</v>
      </c>
      <c r="L43" s="177"/>
      <c r="M43" s="177"/>
      <c r="N43" s="180"/>
      <c r="O43" s="159">
        <f t="shared" ref="O43:O53" si="9">G43</f>
        <v>4000</v>
      </c>
      <c r="P43" s="164">
        <f t="shared" ref="P43:P53" si="10">(O43*SUM(K43:N43))</f>
        <v>1092000</v>
      </c>
      <c r="R43" s="61" t="s">
        <v>138</v>
      </c>
      <c r="S43" s="177">
        <v>35.0</v>
      </c>
      <c r="T43" s="177"/>
      <c r="U43" s="177"/>
      <c r="V43" s="180"/>
      <c r="W43" s="159">
        <f t="shared" ref="W43:W53" si="11">G43</f>
        <v>4000</v>
      </c>
      <c r="X43" s="164">
        <f t="shared" ref="X43:X53" si="12">(W43*SUM(S43:V43))</f>
        <v>140000</v>
      </c>
      <c r="Z43" s="61" t="s">
        <v>138</v>
      </c>
      <c r="AA43" s="177">
        <v>67.0</v>
      </c>
      <c r="AB43" s="177">
        <v>77.0</v>
      </c>
      <c r="AC43" s="177">
        <v>78.0</v>
      </c>
      <c r="AD43" s="180">
        <v>76.0</v>
      </c>
      <c r="AE43" s="159">
        <f t="shared" ref="AE43:AE53" si="13">G43</f>
        <v>4000</v>
      </c>
      <c r="AF43" s="164">
        <f t="shared" ref="AF43:AF53" si="14">(AE43*SUM(AA43:AD43))</f>
        <v>1192000</v>
      </c>
    </row>
    <row r="44" ht="15.75" customHeight="1">
      <c r="B44" s="20" t="s">
        <v>89</v>
      </c>
      <c r="C44" s="100"/>
      <c r="D44" s="100"/>
      <c r="E44" s="100"/>
      <c r="F44" s="172"/>
      <c r="G44" s="159">
        <f t="array" ref="G44:G53">('DON CHACHO'!D49:D58)</f>
        <v>9550</v>
      </c>
      <c r="H44" s="164">
        <f t="shared" si="8"/>
        <v>0</v>
      </c>
      <c r="J44" s="20" t="s">
        <v>89</v>
      </c>
      <c r="K44" s="100"/>
      <c r="L44" s="100"/>
      <c r="M44" s="100"/>
      <c r="N44" s="172"/>
      <c r="O44" s="159">
        <f t="shared" si="9"/>
        <v>9550</v>
      </c>
      <c r="P44" s="164">
        <f t="shared" si="10"/>
        <v>0</v>
      </c>
      <c r="R44" s="20" t="s">
        <v>89</v>
      </c>
      <c r="S44" s="100"/>
      <c r="T44" s="100"/>
      <c r="U44" s="100"/>
      <c r="V44" s="172"/>
      <c r="W44" s="159">
        <f t="shared" si="11"/>
        <v>9550</v>
      </c>
      <c r="X44" s="164">
        <f t="shared" si="12"/>
        <v>0</v>
      </c>
      <c r="Z44" s="20" t="s">
        <v>89</v>
      </c>
      <c r="AA44" s="100">
        <v>1.9</v>
      </c>
      <c r="AB44" s="100"/>
      <c r="AC44" s="100"/>
      <c r="AD44" s="172"/>
      <c r="AE44" s="159">
        <f t="shared" si="13"/>
        <v>9550</v>
      </c>
      <c r="AF44" s="164">
        <f t="shared" si="14"/>
        <v>18145</v>
      </c>
    </row>
    <row r="45" ht="15.75" customHeight="1">
      <c r="B45" s="20" t="s">
        <v>91</v>
      </c>
      <c r="C45" s="100">
        <v>3.2</v>
      </c>
      <c r="D45" s="176"/>
      <c r="E45" s="100"/>
      <c r="F45" s="172"/>
      <c r="G45" s="159">
        <v>9550.0</v>
      </c>
      <c r="H45" s="164">
        <f t="shared" si="8"/>
        <v>30560</v>
      </c>
      <c r="J45" s="20" t="s">
        <v>91</v>
      </c>
      <c r="K45" s="100"/>
      <c r="L45" s="100"/>
      <c r="M45" s="100"/>
      <c r="N45" s="172"/>
      <c r="O45" s="159">
        <f t="shared" si="9"/>
        <v>9550</v>
      </c>
      <c r="P45" s="164">
        <f t="shared" si="10"/>
        <v>0</v>
      </c>
      <c r="R45" s="20" t="s">
        <v>91</v>
      </c>
      <c r="S45" s="100">
        <v>6.8</v>
      </c>
      <c r="T45" s="100">
        <v>1.7</v>
      </c>
      <c r="U45" s="100"/>
      <c r="V45" s="172"/>
      <c r="W45" s="159">
        <f t="shared" si="11"/>
        <v>9550</v>
      </c>
      <c r="X45" s="164">
        <f t="shared" si="12"/>
        <v>81175</v>
      </c>
      <c r="Z45" s="20" t="s">
        <v>91</v>
      </c>
      <c r="AA45" s="100"/>
      <c r="AB45" s="100"/>
      <c r="AC45" s="100"/>
      <c r="AD45" s="172"/>
      <c r="AE45" s="159">
        <f t="shared" si="13"/>
        <v>9550</v>
      </c>
      <c r="AF45" s="164">
        <f t="shared" si="14"/>
        <v>0</v>
      </c>
    </row>
    <row r="46" ht="15.75" customHeight="1">
      <c r="B46" s="20" t="s">
        <v>93</v>
      </c>
      <c r="C46" s="100"/>
      <c r="D46" s="100"/>
      <c r="E46" s="100"/>
      <c r="F46" s="172"/>
      <c r="G46" s="159">
        <v>19900.0</v>
      </c>
      <c r="H46" s="164">
        <f t="shared" si="8"/>
        <v>0</v>
      </c>
      <c r="J46" s="20" t="s">
        <v>93</v>
      </c>
      <c r="K46" s="100">
        <v>5.7</v>
      </c>
      <c r="L46" s="100"/>
      <c r="M46" s="100"/>
      <c r="N46" s="172"/>
      <c r="O46" s="159">
        <f t="shared" si="9"/>
        <v>19900</v>
      </c>
      <c r="P46" s="164">
        <f t="shared" si="10"/>
        <v>113430</v>
      </c>
      <c r="R46" s="20" t="s">
        <v>93</v>
      </c>
      <c r="S46" s="100">
        <v>0.84</v>
      </c>
      <c r="T46" s="100"/>
      <c r="U46" s="100"/>
      <c r="V46" s="172"/>
      <c r="W46" s="159">
        <f t="shared" si="11"/>
        <v>19900</v>
      </c>
      <c r="X46" s="164">
        <f t="shared" si="12"/>
        <v>16716</v>
      </c>
      <c r="Z46" s="20" t="s">
        <v>93</v>
      </c>
      <c r="AA46" s="100">
        <v>1.0</v>
      </c>
      <c r="AB46" s="100">
        <v>2.7</v>
      </c>
      <c r="AC46" s="100"/>
      <c r="AD46" s="172"/>
      <c r="AE46" s="159">
        <f t="shared" si="13"/>
        <v>19900</v>
      </c>
      <c r="AF46" s="164">
        <f t="shared" si="14"/>
        <v>73630</v>
      </c>
    </row>
    <row r="47" ht="15.75" customHeight="1">
      <c r="B47" s="20" t="s">
        <v>94</v>
      </c>
      <c r="C47" s="100">
        <v>1.8</v>
      </c>
      <c r="D47" s="100"/>
      <c r="E47" s="100"/>
      <c r="F47" s="172"/>
      <c r="G47" s="159">
        <v>9975.0</v>
      </c>
      <c r="H47" s="164">
        <f t="shared" si="8"/>
        <v>17955</v>
      </c>
      <c r="J47" s="20" t="s">
        <v>94</v>
      </c>
      <c r="K47" s="100"/>
      <c r="L47" s="100"/>
      <c r="M47" s="100"/>
      <c r="N47" s="172"/>
      <c r="O47" s="159">
        <f t="shared" si="9"/>
        <v>9975</v>
      </c>
      <c r="P47" s="164">
        <f t="shared" si="10"/>
        <v>0</v>
      </c>
      <c r="R47" s="20" t="s">
        <v>94</v>
      </c>
      <c r="S47" s="100"/>
      <c r="T47" s="100"/>
      <c r="U47" s="100"/>
      <c r="V47" s="172"/>
      <c r="W47" s="159">
        <f t="shared" si="11"/>
        <v>9975</v>
      </c>
      <c r="X47" s="164">
        <f t="shared" si="12"/>
        <v>0</v>
      </c>
      <c r="Y47" s="164"/>
      <c r="Z47" s="20" t="s">
        <v>94</v>
      </c>
      <c r="AA47" s="100">
        <v>1.8</v>
      </c>
      <c r="AB47" s="100"/>
      <c r="AC47" s="100"/>
      <c r="AD47" s="172"/>
      <c r="AE47" s="159">
        <f t="shared" si="13"/>
        <v>9975</v>
      </c>
      <c r="AF47" s="164">
        <f t="shared" si="14"/>
        <v>17955</v>
      </c>
    </row>
    <row r="48" ht="15.75" customHeight="1">
      <c r="B48" s="20" t="s">
        <v>95</v>
      </c>
      <c r="C48" s="100">
        <v>56.4</v>
      </c>
      <c r="D48" s="100">
        <v>2.5</v>
      </c>
      <c r="E48" s="100"/>
      <c r="F48" s="172"/>
      <c r="G48" s="159">
        <v>9250.0</v>
      </c>
      <c r="H48" s="164">
        <f t="shared" si="8"/>
        <v>544825</v>
      </c>
      <c r="J48" s="20" t="s">
        <v>95</v>
      </c>
      <c r="K48" s="100">
        <v>12.6</v>
      </c>
      <c r="L48" s="100">
        <v>2.0</v>
      </c>
      <c r="M48" s="100"/>
      <c r="N48" s="172"/>
      <c r="O48" s="159">
        <f t="shared" si="9"/>
        <v>9250</v>
      </c>
      <c r="P48" s="164">
        <f t="shared" si="10"/>
        <v>135050</v>
      </c>
      <c r="R48" s="20" t="s">
        <v>95</v>
      </c>
      <c r="S48" s="100">
        <v>19.6</v>
      </c>
      <c r="T48" s="100">
        <v>2.2</v>
      </c>
      <c r="U48" s="100"/>
      <c r="V48" s="172"/>
      <c r="W48" s="159">
        <f t="shared" si="11"/>
        <v>9250</v>
      </c>
      <c r="X48" s="164">
        <f t="shared" si="12"/>
        <v>201650</v>
      </c>
      <c r="Z48" s="20" t="s">
        <v>95</v>
      </c>
      <c r="AA48" s="100">
        <v>10.5</v>
      </c>
      <c r="AB48" s="100">
        <v>2.9</v>
      </c>
      <c r="AC48" s="100"/>
      <c r="AD48" s="172"/>
      <c r="AE48" s="159">
        <f t="shared" si="13"/>
        <v>9250</v>
      </c>
      <c r="AF48" s="164">
        <f t="shared" si="14"/>
        <v>123950</v>
      </c>
    </row>
    <row r="49" ht="15.75" customHeight="1">
      <c r="B49" s="20" t="s">
        <v>96</v>
      </c>
      <c r="C49" s="100"/>
      <c r="D49" s="100"/>
      <c r="E49" s="100"/>
      <c r="F49" s="172"/>
      <c r="G49" s="159">
        <v>5900.0</v>
      </c>
      <c r="H49" s="164">
        <f t="shared" si="8"/>
        <v>0</v>
      </c>
      <c r="J49" s="20" t="s">
        <v>96</v>
      </c>
      <c r="K49" s="100">
        <v>8.4</v>
      </c>
      <c r="L49" s="100"/>
      <c r="M49" s="100"/>
      <c r="N49" s="172"/>
      <c r="O49" s="159">
        <f t="shared" si="9"/>
        <v>5900</v>
      </c>
      <c r="P49" s="164">
        <f t="shared" si="10"/>
        <v>49560</v>
      </c>
      <c r="R49" s="20" t="s">
        <v>96</v>
      </c>
      <c r="S49" s="100"/>
      <c r="T49" s="100"/>
      <c r="U49" s="100"/>
      <c r="V49" s="172"/>
      <c r="W49" s="159">
        <f t="shared" si="11"/>
        <v>5900</v>
      </c>
      <c r="X49" s="164">
        <f t="shared" si="12"/>
        <v>0</v>
      </c>
      <c r="Z49" s="20" t="s">
        <v>96</v>
      </c>
      <c r="AA49" s="100">
        <v>4.7</v>
      </c>
      <c r="AB49" s="100"/>
      <c r="AC49" s="100"/>
      <c r="AD49" s="172"/>
      <c r="AE49" s="159">
        <f t="shared" si="13"/>
        <v>5900</v>
      </c>
      <c r="AF49" s="164">
        <f t="shared" si="14"/>
        <v>27730</v>
      </c>
    </row>
    <row r="50" ht="15.75" customHeight="1">
      <c r="B50" s="20" t="s">
        <v>97</v>
      </c>
      <c r="C50" s="100">
        <v>2.2</v>
      </c>
      <c r="D50" s="100"/>
      <c r="E50" s="100"/>
      <c r="F50" s="172"/>
      <c r="G50" s="159">
        <v>5450.0</v>
      </c>
      <c r="H50" s="164">
        <f t="shared" si="8"/>
        <v>11990</v>
      </c>
      <c r="J50" s="20" t="s">
        <v>97</v>
      </c>
      <c r="K50" s="100">
        <v>3.4</v>
      </c>
      <c r="L50" s="100">
        <v>4.6</v>
      </c>
      <c r="M50" s="100"/>
      <c r="N50" s="172"/>
      <c r="O50" s="159">
        <f t="shared" si="9"/>
        <v>5450</v>
      </c>
      <c r="P50" s="164">
        <f t="shared" si="10"/>
        <v>43600</v>
      </c>
      <c r="R50" s="20" t="s">
        <v>97</v>
      </c>
      <c r="S50" s="100">
        <v>4.5</v>
      </c>
      <c r="T50" s="100"/>
      <c r="U50" s="100"/>
      <c r="V50" s="172"/>
      <c r="W50" s="159">
        <f t="shared" si="11"/>
        <v>5450</v>
      </c>
      <c r="X50" s="164">
        <f t="shared" si="12"/>
        <v>24525</v>
      </c>
      <c r="Z50" s="20" t="s">
        <v>97</v>
      </c>
      <c r="AA50" s="100">
        <v>4.7</v>
      </c>
      <c r="AB50" s="100">
        <v>5.9</v>
      </c>
      <c r="AC50" s="100"/>
      <c r="AD50" s="172"/>
      <c r="AE50" s="159">
        <f t="shared" si="13"/>
        <v>5450</v>
      </c>
      <c r="AF50" s="164">
        <f t="shared" si="14"/>
        <v>57770</v>
      </c>
    </row>
    <row r="51" ht="15.75" customHeight="1">
      <c r="B51" s="20" t="s">
        <v>98</v>
      </c>
      <c r="C51" s="100"/>
      <c r="D51" s="100"/>
      <c r="E51" s="100"/>
      <c r="F51" s="172"/>
      <c r="G51" s="159">
        <v>10180.0</v>
      </c>
      <c r="H51" s="164">
        <f t="shared" si="8"/>
        <v>0</v>
      </c>
      <c r="J51" s="20" t="s">
        <v>98</v>
      </c>
      <c r="K51" s="100">
        <v>8.0</v>
      </c>
      <c r="L51" s="100"/>
      <c r="M51" s="100"/>
      <c r="N51" s="172"/>
      <c r="O51" s="159">
        <f t="shared" si="9"/>
        <v>10180</v>
      </c>
      <c r="P51" s="164">
        <f t="shared" si="10"/>
        <v>81440</v>
      </c>
      <c r="R51" s="20" t="s">
        <v>98</v>
      </c>
      <c r="S51" s="100"/>
      <c r="T51" s="100"/>
      <c r="U51" s="100"/>
      <c r="V51" s="172"/>
      <c r="W51" s="159">
        <f t="shared" si="11"/>
        <v>10180</v>
      </c>
      <c r="X51" s="164">
        <f t="shared" si="12"/>
        <v>0</v>
      </c>
      <c r="Z51" s="20" t="s">
        <v>98</v>
      </c>
      <c r="AA51" s="100">
        <v>9.0</v>
      </c>
      <c r="AB51" s="100"/>
      <c r="AC51" s="100"/>
      <c r="AD51" s="172"/>
      <c r="AE51" s="159">
        <f t="shared" si="13"/>
        <v>10180</v>
      </c>
      <c r="AF51" s="164">
        <f t="shared" si="14"/>
        <v>91620</v>
      </c>
    </row>
    <row r="52" ht="15.75" customHeight="1">
      <c r="B52" s="20" t="s">
        <v>100</v>
      </c>
      <c r="C52" s="100"/>
      <c r="D52" s="100"/>
      <c r="E52" s="100"/>
      <c r="F52" s="172"/>
      <c r="G52" s="159">
        <v>9340.0</v>
      </c>
      <c r="H52" s="164">
        <f t="shared" si="8"/>
        <v>0</v>
      </c>
      <c r="J52" s="20" t="s">
        <v>100</v>
      </c>
      <c r="K52" s="100"/>
      <c r="L52" s="100"/>
      <c r="M52" s="100"/>
      <c r="N52" s="172"/>
      <c r="O52" s="159">
        <f t="shared" si="9"/>
        <v>9340</v>
      </c>
      <c r="P52" s="164">
        <f t="shared" si="10"/>
        <v>0</v>
      </c>
      <c r="R52" s="20" t="s">
        <v>100</v>
      </c>
      <c r="S52" s="100"/>
      <c r="T52" s="100"/>
      <c r="U52" s="100"/>
      <c r="V52" s="172"/>
      <c r="W52" s="159">
        <f t="shared" si="11"/>
        <v>9340</v>
      </c>
      <c r="X52" s="164">
        <f t="shared" si="12"/>
        <v>0</v>
      </c>
      <c r="Z52" s="20" t="s">
        <v>100</v>
      </c>
      <c r="AA52" s="100"/>
      <c r="AB52" s="100"/>
      <c r="AC52" s="100"/>
      <c r="AD52" s="172"/>
      <c r="AE52" s="159">
        <f t="shared" si="13"/>
        <v>9340</v>
      </c>
      <c r="AF52" s="164">
        <f t="shared" si="14"/>
        <v>0</v>
      </c>
    </row>
    <row r="53" ht="15.75" customHeight="1">
      <c r="B53" s="86" t="s">
        <v>101</v>
      </c>
      <c r="C53" s="178"/>
      <c r="D53" s="178"/>
      <c r="E53" s="178"/>
      <c r="F53" s="179"/>
      <c r="G53" s="181"/>
      <c r="H53" s="164">
        <f t="shared" si="8"/>
        <v>0</v>
      </c>
      <c r="J53" s="86" t="s">
        <v>101</v>
      </c>
      <c r="K53" s="178"/>
      <c r="L53" s="178"/>
      <c r="M53" s="178"/>
      <c r="N53" s="179"/>
      <c r="O53" s="159" t="str">
        <f t="shared" si="9"/>
        <v/>
      </c>
      <c r="P53" s="164">
        <f t="shared" si="10"/>
        <v>0</v>
      </c>
      <c r="R53" s="86" t="s">
        <v>101</v>
      </c>
      <c r="S53" s="178"/>
      <c r="T53" s="178"/>
      <c r="U53" s="178"/>
      <c r="V53" s="179"/>
      <c r="W53" s="159" t="str">
        <f t="shared" si="11"/>
        <v/>
      </c>
      <c r="X53" s="164">
        <f t="shared" si="12"/>
        <v>0</v>
      </c>
      <c r="Z53" s="86" t="s">
        <v>101</v>
      </c>
      <c r="AA53" s="178"/>
      <c r="AB53" s="178"/>
      <c r="AC53" s="178"/>
      <c r="AD53" s="179"/>
      <c r="AE53" s="159" t="str">
        <f t="shared" si="13"/>
        <v/>
      </c>
      <c r="AF53" s="164">
        <f t="shared" si="14"/>
        <v>0</v>
      </c>
    </row>
    <row r="54" ht="15.75" customHeight="1">
      <c r="B54" s="158" t="s">
        <v>139</v>
      </c>
      <c r="C54" s="5"/>
      <c r="D54" s="5"/>
      <c r="E54" s="5"/>
      <c r="F54" s="6"/>
      <c r="G54" s="182"/>
      <c r="H54" s="183">
        <f>SUM(H55:H66)</f>
        <v>849746</v>
      </c>
      <c r="J54" s="158" t="s">
        <v>139</v>
      </c>
      <c r="K54" s="5"/>
      <c r="L54" s="5"/>
      <c r="M54" s="5"/>
      <c r="N54" s="6"/>
      <c r="O54" s="181"/>
      <c r="P54" s="183">
        <f>SUM(P55:P66)</f>
        <v>452900</v>
      </c>
      <c r="R54" s="158" t="s">
        <v>139</v>
      </c>
      <c r="S54" s="5"/>
      <c r="T54" s="5"/>
      <c r="U54" s="5"/>
      <c r="V54" s="6"/>
      <c r="W54" s="181"/>
      <c r="X54" s="183">
        <f>SUM(X55:X66)</f>
        <v>66057</v>
      </c>
      <c r="Z54" s="158" t="s">
        <v>139</v>
      </c>
      <c r="AA54" s="5"/>
      <c r="AB54" s="5"/>
      <c r="AC54" s="5"/>
      <c r="AD54" s="6"/>
      <c r="AE54" s="159"/>
      <c r="AF54" s="183">
        <f>SUM(AF55:AF66)</f>
        <v>433335</v>
      </c>
    </row>
    <row r="55" ht="15.75" customHeight="1">
      <c r="B55" s="61" t="s">
        <v>140</v>
      </c>
      <c r="C55" s="184">
        <v>3.0</v>
      </c>
      <c r="D55" s="184"/>
      <c r="E55" s="184"/>
      <c r="F55" s="185"/>
      <c r="G55" s="186">
        <f>('DON CHACHO'!O65)*-1</f>
        <v>80000</v>
      </c>
      <c r="H55" s="164">
        <f t="shared" ref="H55:H66" si="15">(G55*SUM(C55:F55))</f>
        <v>240000</v>
      </c>
      <c r="J55" s="61" t="s">
        <v>140</v>
      </c>
      <c r="K55" s="184">
        <v>5.0</v>
      </c>
      <c r="L55" s="184"/>
      <c r="M55" s="184"/>
      <c r="N55" s="185"/>
      <c r="O55" s="187">
        <f t="shared" ref="O55:O66" si="16">G55</f>
        <v>80000</v>
      </c>
      <c r="P55" s="164">
        <f t="shared" ref="P55:P66" si="17">(O55*SUM(K55:N55))</f>
        <v>400000</v>
      </c>
      <c r="R55" s="61" t="s">
        <v>140</v>
      </c>
      <c r="S55" s="184"/>
      <c r="T55" s="184"/>
      <c r="U55" s="184"/>
      <c r="V55" s="185"/>
      <c r="W55" s="187">
        <f t="shared" ref="W55:W66" si="18">G55</f>
        <v>80000</v>
      </c>
      <c r="X55" s="164">
        <f t="shared" ref="X55:X66" si="19">(W55*SUM(S55:V55))</f>
        <v>0</v>
      </c>
      <c r="Z55" s="61" t="s">
        <v>140</v>
      </c>
      <c r="AA55" s="184">
        <v>2.0</v>
      </c>
      <c r="AB55" s="184"/>
      <c r="AC55" s="184"/>
      <c r="AD55" s="185"/>
      <c r="AE55" s="159">
        <f t="shared" ref="AE55:AE66" si="20">G55</f>
        <v>80000</v>
      </c>
      <c r="AF55" s="164">
        <f t="shared" ref="AF55:AF66" si="21">(AE55*SUM(AA55:AD55))</f>
        <v>160000</v>
      </c>
    </row>
    <row r="56" ht="15.75" customHeight="1">
      <c r="B56" s="61" t="s">
        <v>107</v>
      </c>
      <c r="C56" s="177">
        <v>8.0</v>
      </c>
      <c r="D56" s="177"/>
      <c r="E56" s="177"/>
      <c r="F56" s="188"/>
      <c r="G56" s="189">
        <f t="array" ref="G56:G66">('DON CHACHO'!D65:D75)</f>
        <v>5350</v>
      </c>
      <c r="H56" s="164">
        <f t="shared" si="15"/>
        <v>42800</v>
      </c>
      <c r="J56" s="61" t="s">
        <v>107</v>
      </c>
      <c r="K56" s="177"/>
      <c r="L56" s="177"/>
      <c r="M56" s="177"/>
      <c r="N56" s="188"/>
      <c r="O56" s="187">
        <f t="shared" si="16"/>
        <v>5350</v>
      </c>
      <c r="P56" s="164">
        <f t="shared" si="17"/>
        <v>0</v>
      </c>
      <c r="R56" s="61" t="s">
        <v>107</v>
      </c>
      <c r="S56" s="177">
        <v>7.5</v>
      </c>
      <c r="T56" s="177"/>
      <c r="U56" s="177"/>
      <c r="V56" s="188"/>
      <c r="W56" s="187">
        <f t="shared" si="18"/>
        <v>5350</v>
      </c>
      <c r="X56" s="164">
        <f t="shared" si="19"/>
        <v>40125</v>
      </c>
      <c r="Z56" s="61" t="s">
        <v>107</v>
      </c>
      <c r="AA56" s="177">
        <v>8.5</v>
      </c>
      <c r="AB56" s="177"/>
      <c r="AC56" s="177"/>
      <c r="AD56" s="188"/>
      <c r="AE56" s="159">
        <f t="shared" si="20"/>
        <v>5350</v>
      </c>
      <c r="AF56" s="164">
        <f t="shared" si="21"/>
        <v>45475</v>
      </c>
    </row>
    <row r="57" ht="15.75" customHeight="1">
      <c r="B57" s="20" t="s">
        <v>109</v>
      </c>
      <c r="C57" s="100">
        <v>3.1</v>
      </c>
      <c r="D57" s="100"/>
      <c r="E57" s="100"/>
      <c r="F57" s="190"/>
      <c r="G57" s="186">
        <v>6850.0</v>
      </c>
      <c r="H57" s="164">
        <f t="shared" si="15"/>
        <v>21235</v>
      </c>
      <c r="J57" s="20" t="s">
        <v>109</v>
      </c>
      <c r="K57" s="100"/>
      <c r="L57" s="100"/>
      <c r="M57" s="100"/>
      <c r="N57" s="190"/>
      <c r="O57" s="187">
        <f t="shared" si="16"/>
        <v>6850</v>
      </c>
      <c r="P57" s="164">
        <f t="shared" si="17"/>
        <v>0</v>
      </c>
      <c r="R57" s="20" t="s">
        <v>109</v>
      </c>
      <c r="S57" s="100"/>
      <c r="T57" s="100"/>
      <c r="U57" s="100"/>
      <c r="V57" s="190"/>
      <c r="W57" s="187">
        <f t="shared" si="18"/>
        <v>6850</v>
      </c>
      <c r="X57" s="164">
        <f t="shared" si="19"/>
        <v>0</v>
      </c>
      <c r="Z57" s="20" t="s">
        <v>109</v>
      </c>
      <c r="AA57" s="100">
        <v>0.8</v>
      </c>
      <c r="AB57" s="100"/>
      <c r="AC57" s="100"/>
      <c r="AD57" s="190"/>
      <c r="AE57" s="159">
        <f t="shared" si="20"/>
        <v>6850</v>
      </c>
      <c r="AF57" s="164">
        <f t="shared" si="21"/>
        <v>5480</v>
      </c>
    </row>
    <row r="58" ht="15.75" customHeight="1">
      <c r="B58" s="20" t="s">
        <v>111</v>
      </c>
      <c r="C58" s="100">
        <v>7.0</v>
      </c>
      <c r="D58" s="100">
        <v>2.2</v>
      </c>
      <c r="E58" s="100"/>
      <c r="F58" s="190"/>
      <c r="G58" s="186">
        <v>10580.0</v>
      </c>
      <c r="H58" s="164">
        <f t="shared" si="15"/>
        <v>97336</v>
      </c>
      <c r="J58" s="20" t="s">
        <v>111</v>
      </c>
      <c r="K58" s="100">
        <v>5.0</v>
      </c>
      <c r="L58" s="100"/>
      <c r="M58" s="100"/>
      <c r="N58" s="190"/>
      <c r="O58" s="187">
        <f t="shared" si="16"/>
        <v>10580</v>
      </c>
      <c r="P58" s="164">
        <f t="shared" si="17"/>
        <v>52900</v>
      </c>
      <c r="R58" s="20" t="s">
        <v>111</v>
      </c>
      <c r="S58" s="100"/>
      <c r="T58" s="100"/>
      <c r="U58" s="100"/>
      <c r="V58" s="190"/>
      <c r="W58" s="187">
        <f t="shared" si="18"/>
        <v>10580</v>
      </c>
      <c r="X58" s="164">
        <f t="shared" si="19"/>
        <v>0</v>
      </c>
      <c r="Z58" s="20" t="s">
        <v>111</v>
      </c>
      <c r="AA58" s="100">
        <v>6.0</v>
      </c>
      <c r="AB58" s="100"/>
      <c r="AC58" s="100"/>
      <c r="AD58" s="190"/>
      <c r="AE58" s="159">
        <f t="shared" si="20"/>
        <v>10580</v>
      </c>
      <c r="AF58" s="164">
        <f t="shared" si="21"/>
        <v>63480</v>
      </c>
    </row>
    <row r="59" ht="15.75" customHeight="1">
      <c r="B59" s="20" t="s">
        <v>113</v>
      </c>
      <c r="C59" s="100">
        <v>19.5</v>
      </c>
      <c r="D59" s="100">
        <v>12.0</v>
      </c>
      <c r="E59" s="100"/>
      <c r="F59" s="190"/>
      <c r="G59" s="186">
        <v>10850.0</v>
      </c>
      <c r="H59" s="164">
        <f t="shared" si="15"/>
        <v>341775</v>
      </c>
      <c r="J59" s="20" t="s">
        <v>113</v>
      </c>
      <c r="K59" s="100"/>
      <c r="L59" s="100"/>
      <c r="M59" s="100"/>
      <c r="N59" s="190"/>
      <c r="O59" s="187">
        <f t="shared" si="16"/>
        <v>10850</v>
      </c>
      <c r="P59" s="164">
        <f t="shared" si="17"/>
        <v>0</v>
      </c>
      <c r="R59" s="20" t="s">
        <v>113</v>
      </c>
      <c r="S59" s="100"/>
      <c r="T59" s="100"/>
      <c r="U59" s="100"/>
      <c r="V59" s="190"/>
      <c r="W59" s="187">
        <f t="shared" si="18"/>
        <v>10850</v>
      </c>
      <c r="X59" s="164">
        <f t="shared" si="19"/>
        <v>0</v>
      </c>
      <c r="Z59" s="20" t="s">
        <v>113</v>
      </c>
      <c r="AA59" s="100">
        <v>1.2</v>
      </c>
      <c r="AB59" s="100">
        <v>4.0</v>
      </c>
      <c r="AC59" s="100"/>
      <c r="AD59" s="190"/>
      <c r="AE59" s="159">
        <f t="shared" si="20"/>
        <v>10850</v>
      </c>
      <c r="AF59" s="164">
        <f t="shared" si="21"/>
        <v>56420</v>
      </c>
    </row>
    <row r="60" ht="15.75" customHeight="1">
      <c r="B60" s="20" t="s">
        <v>115</v>
      </c>
      <c r="C60" s="100"/>
      <c r="D60" s="100"/>
      <c r="E60" s="100"/>
      <c r="F60" s="190"/>
      <c r="G60" s="186">
        <v>12000.0</v>
      </c>
      <c r="H60" s="164">
        <f t="shared" si="15"/>
        <v>0</v>
      </c>
      <c r="J60" s="20" t="s">
        <v>115</v>
      </c>
      <c r="K60" s="100"/>
      <c r="L60" s="100"/>
      <c r="M60" s="100"/>
      <c r="N60" s="190"/>
      <c r="O60" s="187">
        <f t="shared" si="16"/>
        <v>12000</v>
      </c>
      <c r="P60" s="164">
        <f t="shared" si="17"/>
        <v>0</v>
      </c>
      <c r="R60" s="20" t="s">
        <v>115</v>
      </c>
      <c r="S60" s="100"/>
      <c r="T60" s="100"/>
      <c r="U60" s="100"/>
      <c r="V60" s="190"/>
      <c r="W60" s="187">
        <f t="shared" si="18"/>
        <v>12000</v>
      </c>
      <c r="X60" s="164">
        <f t="shared" si="19"/>
        <v>0</v>
      </c>
      <c r="Z60" s="20" t="s">
        <v>115</v>
      </c>
      <c r="AA60" s="100"/>
      <c r="AB60" s="100"/>
      <c r="AC60" s="100"/>
      <c r="AD60" s="190"/>
      <c r="AE60" s="159">
        <f t="shared" si="20"/>
        <v>12000</v>
      </c>
      <c r="AF60" s="164">
        <f t="shared" si="21"/>
        <v>0</v>
      </c>
    </row>
    <row r="61" ht="15.75" customHeight="1">
      <c r="B61" s="20" t="s">
        <v>117</v>
      </c>
      <c r="C61" s="100">
        <v>8.8</v>
      </c>
      <c r="D61" s="100">
        <v>5.9</v>
      </c>
      <c r="E61" s="100"/>
      <c r="F61" s="190"/>
      <c r="G61" s="186">
        <v>6100.0</v>
      </c>
      <c r="H61" s="164">
        <f t="shared" si="15"/>
        <v>89670</v>
      </c>
      <c r="J61" s="20" t="s">
        <v>117</v>
      </c>
      <c r="K61" s="100"/>
      <c r="L61" s="100"/>
      <c r="M61" s="100"/>
      <c r="N61" s="190"/>
      <c r="O61" s="187">
        <f t="shared" si="16"/>
        <v>6100</v>
      </c>
      <c r="P61" s="164">
        <f t="shared" si="17"/>
        <v>0</v>
      </c>
      <c r="R61" s="20" t="s">
        <v>117</v>
      </c>
      <c r="S61" s="100">
        <v>0.42</v>
      </c>
      <c r="T61" s="100"/>
      <c r="U61" s="100"/>
      <c r="V61" s="190"/>
      <c r="W61" s="187">
        <f t="shared" si="18"/>
        <v>6100</v>
      </c>
      <c r="X61" s="164">
        <f t="shared" si="19"/>
        <v>2562</v>
      </c>
      <c r="Z61" s="20" t="s">
        <v>117</v>
      </c>
      <c r="AA61" s="100">
        <v>8.0</v>
      </c>
      <c r="AB61" s="100">
        <v>8.8</v>
      </c>
      <c r="AC61" s="100"/>
      <c r="AD61" s="190"/>
      <c r="AE61" s="159">
        <f t="shared" si="20"/>
        <v>6100</v>
      </c>
      <c r="AF61" s="164">
        <f t="shared" si="21"/>
        <v>102480</v>
      </c>
    </row>
    <row r="62" ht="15.75" customHeight="1">
      <c r="B62" s="20" t="s">
        <v>114</v>
      </c>
      <c r="C62" s="100">
        <v>3.2</v>
      </c>
      <c r="D62" s="100"/>
      <c r="E62" s="100"/>
      <c r="F62" s="190"/>
      <c r="G62" s="186">
        <v>4900.0</v>
      </c>
      <c r="H62" s="164">
        <f t="shared" si="15"/>
        <v>15680</v>
      </c>
      <c r="J62" s="20" t="s">
        <v>114</v>
      </c>
      <c r="K62" s="100"/>
      <c r="L62" s="100"/>
      <c r="M62" s="100"/>
      <c r="N62" s="190"/>
      <c r="O62" s="187">
        <f t="shared" si="16"/>
        <v>4900</v>
      </c>
      <c r="P62" s="164">
        <f t="shared" si="17"/>
        <v>0</v>
      </c>
      <c r="R62" s="20" t="s">
        <v>114</v>
      </c>
      <c r="S62" s="100">
        <v>2.7</v>
      </c>
      <c r="T62" s="100">
        <v>0.6</v>
      </c>
      <c r="U62" s="100"/>
      <c r="V62" s="190"/>
      <c r="W62" s="187">
        <f t="shared" si="18"/>
        <v>4900</v>
      </c>
      <c r="X62" s="164">
        <f t="shared" si="19"/>
        <v>16170</v>
      </c>
      <c r="Z62" s="20" t="s">
        <v>114</v>
      </c>
      <c r="AA62" s="100"/>
      <c r="AB62" s="100"/>
      <c r="AC62" s="100"/>
      <c r="AD62" s="190"/>
      <c r="AE62" s="159">
        <f t="shared" si="20"/>
        <v>4900</v>
      </c>
      <c r="AF62" s="164">
        <f t="shared" si="21"/>
        <v>0</v>
      </c>
    </row>
    <row r="63" ht="15.75" customHeight="1">
      <c r="B63" s="20" t="s">
        <v>119</v>
      </c>
      <c r="C63" s="100"/>
      <c r="D63" s="100"/>
      <c r="E63" s="100"/>
      <c r="F63" s="190"/>
      <c r="G63" s="186">
        <v>1800.0</v>
      </c>
      <c r="H63" s="164">
        <f t="shared" si="15"/>
        <v>0</v>
      </c>
      <c r="J63" s="20" t="s">
        <v>119</v>
      </c>
      <c r="K63" s="100"/>
      <c r="L63" s="100"/>
      <c r="M63" s="100"/>
      <c r="N63" s="190"/>
      <c r="O63" s="187">
        <f t="shared" si="16"/>
        <v>1800</v>
      </c>
      <c r="P63" s="164">
        <f t="shared" si="17"/>
        <v>0</v>
      </c>
      <c r="R63" s="20" t="s">
        <v>119</v>
      </c>
      <c r="S63" s="100">
        <v>4.0</v>
      </c>
      <c r="T63" s="100"/>
      <c r="U63" s="100"/>
      <c r="V63" s="190"/>
      <c r="W63" s="187">
        <f t="shared" si="18"/>
        <v>1800</v>
      </c>
      <c r="X63" s="164">
        <f t="shared" si="19"/>
        <v>7200</v>
      </c>
      <c r="Z63" s="20" t="s">
        <v>119</v>
      </c>
      <c r="AA63" s="100"/>
      <c r="AB63" s="100"/>
      <c r="AC63" s="100"/>
      <c r="AD63" s="190"/>
      <c r="AE63" s="159">
        <f t="shared" si="20"/>
        <v>1800</v>
      </c>
      <c r="AF63" s="164">
        <f t="shared" si="21"/>
        <v>0</v>
      </c>
    </row>
    <row r="64" ht="15.75" customHeight="1">
      <c r="B64" s="20" t="s">
        <v>118</v>
      </c>
      <c r="C64" s="100">
        <v>2.5</v>
      </c>
      <c r="D64" s="100"/>
      <c r="E64" s="100"/>
      <c r="F64" s="190"/>
      <c r="G64" s="186">
        <v>500.0</v>
      </c>
      <c r="H64" s="164">
        <f t="shared" si="15"/>
        <v>1250</v>
      </c>
      <c r="J64" s="20" t="s">
        <v>118</v>
      </c>
      <c r="K64" s="100"/>
      <c r="L64" s="100"/>
      <c r="M64" s="100"/>
      <c r="N64" s="190"/>
      <c r="O64" s="187">
        <f t="shared" si="16"/>
        <v>500</v>
      </c>
      <c r="P64" s="164">
        <f t="shared" si="17"/>
        <v>0</v>
      </c>
      <c r="R64" s="20" t="s">
        <v>118</v>
      </c>
      <c r="S64" s="100"/>
      <c r="T64" s="100"/>
      <c r="U64" s="100"/>
      <c r="V64" s="190"/>
      <c r="W64" s="187">
        <f t="shared" si="18"/>
        <v>500</v>
      </c>
      <c r="X64" s="164">
        <f t="shared" si="19"/>
        <v>0</v>
      </c>
      <c r="Z64" s="20" t="s">
        <v>118</v>
      </c>
      <c r="AA64" s="100"/>
      <c r="AB64" s="100"/>
      <c r="AC64" s="100"/>
      <c r="AD64" s="190"/>
      <c r="AE64" s="159">
        <f t="shared" si="20"/>
        <v>500</v>
      </c>
      <c r="AF64" s="164">
        <f t="shared" si="21"/>
        <v>0</v>
      </c>
    </row>
    <row r="65" ht="15.75" customHeight="1">
      <c r="B65" s="20" t="s">
        <v>120</v>
      </c>
      <c r="C65" s="100"/>
      <c r="D65" s="100"/>
      <c r="E65" s="100"/>
      <c r="F65" s="190"/>
      <c r="G65" s="186">
        <v>17500.0</v>
      </c>
      <c r="H65" s="164">
        <f t="shared" si="15"/>
        <v>0</v>
      </c>
      <c r="J65" s="20" t="s">
        <v>120</v>
      </c>
      <c r="K65" s="100"/>
      <c r="L65" s="100"/>
      <c r="M65" s="100"/>
      <c r="N65" s="190"/>
      <c r="O65" s="187">
        <f t="shared" si="16"/>
        <v>17500</v>
      </c>
      <c r="P65" s="164">
        <f t="shared" si="17"/>
        <v>0</v>
      </c>
      <c r="R65" s="20" t="s">
        <v>120</v>
      </c>
      <c r="S65" s="100"/>
      <c r="T65" s="100"/>
      <c r="U65" s="100"/>
      <c r="V65" s="190"/>
      <c r="W65" s="187">
        <f t="shared" si="18"/>
        <v>17500</v>
      </c>
      <c r="X65" s="164">
        <f t="shared" si="19"/>
        <v>0</v>
      </c>
      <c r="Z65" s="20" t="s">
        <v>120</v>
      </c>
      <c r="AA65" s="100"/>
      <c r="AB65" s="100"/>
      <c r="AC65" s="100"/>
      <c r="AD65" s="190"/>
      <c r="AE65" s="159">
        <f t="shared" si="20"/>
        <v>17500</v>
      </c>
      <c r="AF65" s="164">
        <f t="shared" si="21"/>
        <v>0</v>
      </c>
    </row>
    <row r="66" ht="15.75" customHeight="1">
      <c r="B66" s="48" t="s">
        <v>121</v>
      </c>
      <c r="C66" s="106"/>
      <c r="D66" s="106"/>
      <c r="E66" s="106"/>
      <c r="F66" s="191"/>
      <c r="G66" s="192">
        <v>9700.0</v>
      </c>
      <c r="H66" s="193">
        <f t="shared" si="15"/>
        <v>0</v>
      </c>
      <c r="J66" s="48" t="s">
        <v>121</v>
      </c>
      <c r="K66" s="106"/>
      <c r="L66" s="106"/>
      <c r="M66" s="106"/>
      <c r="N66" s="191"/>
      <c r="O66" s="187">
        <f t="shared" si="16"/>
        <v>9700</v>
      </c>
      <c r="P66" s="193">
        <f t="shared" si="17"/>
        <v>0</v>
      </c>
      <c r="R66" s="48" t="s">
        <v>121</v>
      </c>
      <c r="S66" s="106"/>
      <c r="T66" s="106"/>
      <c r="U66" s="106"/>
      <c r="V66" s="191"/>
      <c r="W66" s="187">
        <f t="shared" si="18"/>
        <v>9700</v>
      </c>
      <c r="X66" s="193">
        <f t="shared" si="19"/>
        <v>0</v>
      </c>
      <c r="Z66" s="48" t="s">
        <v>121</v>
      </c>
      <c r="AA66" s="106"/>
      <c r="AB66" s="106"/>
      <c r="AC66" s="106"/>
      <c r="AD66" s="191"/>
      <c r="AE66" s="159">
        <f t="shared" si="20"/>
        <v>9700</v>
      </c>
      <c r="AF66" s="193">
        <f t="shared" si="21"/>
        <v>0</v>
      </c>
    </row>
    <row r="67" ht="15.75" customHeight="1">
      <c r="B67" s="194" t="s">
        <v>133</v>
      </c>
      <c r="C67" s="5"/>
      <c r="D67" s="5"/>
      <c r="E67" s="5"/>
      <c r="F67" s="5"/>
      <c r="G67" s="6"/>
      <c r="H67" s="195" t="str">
        <f>SUM(H5:H41)+SUM(H43:H53)+SUM(H55:H66)</f>
        <v>#REF!</v>
      </c>
      <c r="J67" s="194" t="s">
        <v>133</v>
      </c>
      <c r="K67" s="5"/>
      <c r="L67" s="5"/>
      <c r="M67" s="5"/>
      <c r="N67" s="5"/>
      <c r="O67" s="6"/>
      <c r="P67" s="195" t="str">
        <f>SUM(P5:P41)+SUM(P43:P53)+SUM(P55:P66)</f>
        <v>#REF!</v>
      </c>
      <c r="R67" s="194" t="s">
        <v>133</v>
      </c>
      <c r="S67" s="5"/>
      <c r="T67" s="5"/>
      <c r="U67" s="5"/>
      <c r="V67" s="5"/>
      <c r="W67" s="6"/>
      <c r="X67" s="195" t="str">
        <f>SUM(X5:X41)+SUM(X43:X53)+SUM(X55:X66)</f>
        <v>#REF!</v>
      </c>
      <c r="Z67" s="194" t="s">
        <v>133</v>
      </c>
      <c r="AA67" s="5"/>
      <c r="AB67" s="5"/>
      <c r="AC67" s="5"/>
      <c r="AD67" s="5"/>
      <c r="AE67" s="6"/>
      <c r="AF67" s="195" t="str">
        <f>SUM(AF5:AF41)+SUM(AF43:AF53)+SUM(AF55:AF66)</f>
        <v>#REF!</v>
      </c>
    </row>
    <row r="68" ht="15.75" customHeight="1"/>
    <row r="69" ht="15.75" customHeight="1"/>
    <row r="70" ht="15.75" customHeight="1">
      <c r="B70" s="196" t="s">
        <v>141</v>
      </c>
      <c r="C70" s="5"/>
      <c r="D70" s="5"/>
      <c r="E70" s="5"/>
      <c r="F70" s="5"/>
      <c r="G70" s="6"/>
      <c r="H70" s="197" t="str">
        <f>SUM(H67,P67,X67,AF67)</f>
        <v>#REF!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2:H2"/>
    <mergeCell ref="J2:P2"/>
    <mergeCell ref="R2:X2"/>
    <mergeCell ref="Z2:AF2"/>
    <mergeCell ref="K3:N3"/>
    <mergeCell ref="S3:V3"/>
    <mergeCell ref="AA3:AD3"/>
    <mergeCell ref="R42:V42"/>
    <mergeCell ref="Z42:AD42"/>
    <mergeCell ref="C3:F3"/>
    <mergeCell ref="B4:F4"/>
    <mergeCell ref="J4:N4"/>
    <mergeCell ref="R4:V4"/>
    <mergeCell ref="Z4:AD4"/>
    <mergeCell ref="B42:F42"/>
    <mergeCell ref="J42:N42"/>
    <mergeCell ref="B67:G67"/>
    <mergeCell ref="B70:G70"/>
    <mergeCell ref="B54:F54"/>
    <mergeCell ref="J54:N54"/>
    <mergeCell ref="R54:V54"/>
    <mergeCell ref="Z54:AD54"/>
    <mergeCell ref="J67:O67"/>
    <mergeCell ref="R67:W67"/>
    <mergeCell ref="Z67:AE6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2024-02-06T17:59:37Z</dcterms:created>
  <dc:creator>admin</dc:creator>
</cp:coreProperties>
</file>